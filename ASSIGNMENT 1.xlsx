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9a65443a9bb3b4e/Desktop/padmini/EXCEL ASSIGNMENT1/"/>
    </mc:Choice>
  </mc:AlternateContent>
  <xr:revisionPtr revIDLastSave="74" documentId="8_{EDA1E867-AF0B-4F60-A9E9-1008A263BE3B}" xr6:coauthVersionLast="47" xr6:coauthVersionMax="47" xr10:uidLastSave="{9F8F57A8-8D73-4D41-93C0-E9673D0E3100}"/>
  <bookViews>
    <workbookView xWindow="-120" yWindow="-120" windowWidth="20730" windowHeight="11040" firstSheet="2" activeTab="4" xr2:uid="{00000000-000D-0000-FFFF-FFFF00000000}"/>
  </bookViews>
  <sheets>
    <sheet name="Sheet1" sheetId="1" r:id="rId1"/>
    <sheet name="SUM,COUNT,AVG" sheetId="4" r:id="rId2"/>
    <sheet name="IF CONDITION" sheetId="3" r:id="rId3"/>
    <sheet name="MIN MAX" sheetId="2" r:id="rId4"/>
    <sheet name="TEXT FORMAT" sheetId="5" r:id="rId5"/>
    <sheet name="SUMIF,COUNTIF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D43" i="6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</calcChain>
</file>

<file path=xl/sharedStrings.xml><?xml version="1.0" encoding="utf-8"?>
<sst xmlns="http://schemas.openxmlformats.org/spreadsheetml/2006/main" count="582" uniqueCount="107">
  <si>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</si>
  <si>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</si>
  <si>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</si>
  <si>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</si>
  <si>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</si>
  <si>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</si>
  <si>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</si>
  <si>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</si>
  <si>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</si>
  <si>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</si>
  <si>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</si>
  <si>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</si>
  <si>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</si>
  <si>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</si>
  <si>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</si>
  <si>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</si>
  <si>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</si>
  <si>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</si>
  <si>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</si>
  <si>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</si>
  <si>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</si>
  <si>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</si>
  <si>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</si>
  <si>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</si>
  <si>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</si>
  <si>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</si>
  <si>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</si>
  <si>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</si>
  <si>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</si>
  <si>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</si>
  <si>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</si>
  <si>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</si>
  <si>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</si>
  <si>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</si>
  <si>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</si>
  <si>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</si>
  <si>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</si>
  <si>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</si>
  <si>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</si>
  <si>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</si>
  <si>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</si>
  <si>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</si>
  <si>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</si>
  <si>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</si>
  <si>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</si>
  <si>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</si>
  <si>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</si>
  <si>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</si>
  <si>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</si>
  <si>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</si>
  <si>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</si>
  <si>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</si>
  <si>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</si>
  <si>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</si>
  <si>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</si>
  <si>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</si>
  <si>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</si>
  <si>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</si>
  <si>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</si>
  <si>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</si>
  <si>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</si>
  <si>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</si>
  <si>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</si>
  <si>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</si>
  <si>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</si>
  <si>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</si>
  <si>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</si>
  <si>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</si>
  <si>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</si>
  <si>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</si>
  <si>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</si>
  <si>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</si>
  <si>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</si>
  <si>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</si>
  <si>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</si>
  <si>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</si>
  <si>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</si>
  <si>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</si>
  <si>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</si>
  <si>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</si>
  <si>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</si>
  <si>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</si>
  <si>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</si>
  <si>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</si>
  <si>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</si>
  <si>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</si>
  <si>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</si>
  <si>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</si>
  <si>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</si>
  <si>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</si>
  <si>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</si>
  <si>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</si>
  <si>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</si>
  <si>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</si>
  <si>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</si>
  <si>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</si>
  <si>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TO DETERMINE MINIMUM AND MAXIMUM OF PRICE AMOUNG ALL PRODUCTS.</t>
  </si>
  <si>
    <t>MIN</t>
  </si>
  <si>
    <t>MAX</t>
  </si>
  <si>
    <t>Price Range</t>
  </si>
  <si>
    <t>To calculate the SUMIF and COUNTIF</t>
  </si>
  <si>
    <t>Too calculate the total price for produts with a"ELECTRONICS CATEGORY" using The SUMIF FUNCTION</t>
  </si>
  <si>
    <t xml:space="preserve">SUMIF IS </t>
  </si>
  <si>
    <t>Determine the Count of PRODUCTS with a PRICE Less than $100 using the COUNTIF Function</t>
  </si>
  <si>
    <t>COUNTIF</t>
  </si>
  <si>
    <t>DAY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</si>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</sst>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0F7FA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2" xfId="0" applyFont="1" applyBorder="1"/>
    <xf numFmtId="0" fontId="2" fillId="0" borderId="1" xfId="0" applyFont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0" borderId="7" xfId="0" applyFont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0" fontId="2" fillId="2" borderId="7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2" fillId="2" borderId="9" xfId="0" applyFont="1" applyFill="1" applyBorder="1" applyAlignment="1">
      <alignment horizontal="right" wrapText="1"/>
    </xf>
    <xf numFmtId="0" fontId="2" fillId="2" borderId="10" xfId="0" applyFont="1" applyFill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2" xfId="0" applyFont="1" applyBorder="1"/>
    <xf numFmtId="0" fontId="1" fillId="0" borderId="0" xfId="0" applyFont="1" applyBorder="1"/>
    <xf numFmtId="0" fontId="1" fillId="0" borderId="9" xfId="0" applyFont="1" applyBorder="1"/>
    <xf numFmtId="0" fontId="0" fillId="0" borderId="0" xfId="0" applyBorder="1"/>
    <xf numFmtId="0" fontId="1" fillId="3" borderId="9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4FB7E5-EB8D-4C6D-82CA-95CC216AAAD2}" name="Table1" displayName="Table1" ref="A1:F35" totalsRowShown="0" headerRowDxfId="31" headerRowBorderDxfId="30" tableBorderDxfId="29" totalsRowBorderDxfId="28">
  <autoFilter ref="A1:F35" xr:uid="{A84FB7E5-EB8D-4C6D-82CA-95CC216AAAD2}"/>
  <tableColumns count="6">
    <tableColumn id="1" xr3:uid="{4D2D8935-16AD-4921-BD22-811EAC459C37}" name="Product ID" dataDxfId="27"/>
    <tableColumn id="2" xr3:uid="{32702282-2B1E-40EB-A1A7-A3EC8DB28CFC}" name="Product Name" dataDxfId="26"/>
    <tableColumn id="3" xr3:uid="{D814EA74-EAC9-4A32-96ED-A6E0F747C413}" name="Brand Name" dataDxfId="25"/>
    <tableColumn id="4" xr3:uid="{6AF92616-3508-4C13-B703-54394C1BE509}" name="Price ($)" dataDxfId="24"/>
    <tableColumn id="5" xr3:uid="{D7CA1819-7F64-4205-AF5C-9187D78511C0}" name="Quantity" dataDxfId="23"/>
    <tableColumn id="6" xr3:uid="{3271315C-1E9C-4462-9BA8-3E1474641833}" name="Category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1CBE43-4FC6-4270-9B0A-D779B605066F}" name="Table13" displayName="Table13" ref="A1:G35" totalsRowShown="0" headerRowDxfId="42" headerRowBorderDxfId="41" tableBorderDxfId="40" totalsRowBorderDxfId="39">
  <autoFilter ref="A1:G35" xr:uid="{8A1CBE43-4FC6-4270-9B0A-D779B605066F}"/>
  <tableColumns count="7">
    <tableColumn id="1" xr3:uid="{834AA09F-C5A8-41A9-8F3E-1E689E16C3AD}" name="Product ID" dataDxfId="38"/>
    <tableColumn id="2" xr3:uid="{3453A070-917B-484B-941D-76937C4B16E2}" name="Product Name" dataDxfId="37"/>
    <tableColumn id="3" xr3:uid="{426CEFD8-66C8-466E-B5F2-614BC4D6B134}" name="Brand Name" dataDxfId="36"/>
    <tableColumn id="4" xr3:uid="{2DD9AD21-B4A3-41B7-AC41-99221EAEB4FC}" name="Price ($)" dataDxfId="35"/>
    <tableColumn id="7" xr3:uid="{86AE2799-A2FD-43CC-96F7-3019E5151DCD}" name="Price Range" dataDxfId="34">
      <calculatedColumnFormula>IF(D2&gt;500,"High Price","Standard Price")</calculatedColumnFormula>
    </tableColumn>
    <tableColumn id="5" xr3:uid="{655AD4C2-3F53-4C15-BC06-FC1A4C5537E1}" name="Quantity" dataDxfId="33"/>
    <tableColumn id="6" xr3:uid="{72374F7C-D933-4202-8200-02EF246E5FD3}" name="Category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EE06E1-A792-4AAE-9A81-8C47F21C433D}" name="Table145" displayName="Table145" ref="A1:H35" totalsRowShown="0" headerRowDxfId="11" headerRowBorderDxfId="9" tableBorderDxfId="10" totalsRowBorderDxfId="8">
  <autoFilter ref="A1:H35" xr:uid="{65EE06E1-A792-4AAE-9A81-8C47F21C433D}"/>
  <tableColumns count="8">
    <tableColumn id="1" xr3:uid="{03DE3917-715E-410A-B78B-AA8142E7A613}" name="Product ID" dataDxfId="7"/>
    <tableColumn id="8" xr3:uid="{40E8245C-66D5-43B9-BF46-55401B48B3C9}" name="DAY" dataDxfId="1">
      <calculatedColumnFormula>RIGHT(A2,2)</calculatedColumnFormula>
    </tableColumn>
    <tableColumn id="9" xr3:uid="{2D4D4F3E-0045-4073-9D58-D47B7ADD0633}" name="MONTH" dataDxfId="0">
      <calculatedColumnFormula>MID(A2,4,3)</calculatedColumnFormula>
    </tableColumn>
    <tableColumn id="2" xr3:uid="{1F29C012-C7E2-48B8-9332-2A13B263B43B}" name="Product Name" dataDxfId="6"/>
    <tableColumn id="3" xr3:uid="{2EEA2900-2C0B-4A6D-8F25-D6001A51DCA1}" name="Brand Name" dataDxfId="5"/>
    <tableColumn id="4" xr3:uid="{85F13A85-344D-4E46-9EFF-ACFA4E01F6D1}" name="Price ($)" dataDxfId="4"/>
    <tableColumn id="5" xr3:uid="{8B78CE97-2DE8-4B80-93BC-66150DBE77C0}" name="Quantity" dataDxfId="3"/>
    <tableColumn id="6" xr3:uid="{9CDE2A7C-2763-4F0B-93DD-83585B69A4ED}" name="Category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DA6668-5F3C-4C68-BF04-462819B7D945}" name="Table14" displayName="Table14" ref="A1:F35" totalsRowShown="0" headerRowDxfId="21" headerRowBorderDxfId="19" tableBorderDxfId="20" totalsRowBorderDxfId="18">
  <autoFilter ref="A1:F35" xr:uid="{A84FB7E5-EB8D-4C6D-82CA-95CC216AAAD2}"/>
  <tableColumns count="6">
    <tableColumn id="1" xr3:uid="{02EC5A76-221A-4914-A688-5BCB80732E76}" name="Product ID" dataDxfId="17"/>
    <tableColumn id="2" xr3:uid="{E0A27313-E832-4418-89DC-BA02DB212048}" name="Product Name" dataDxfId="16"/>
    <tableColumn id="3" xr3:uid="{AEDE0C6C-D5BD-46FE-8CA6-B9808A2C8835}" name="Brand Name" dataDxfId="15"/>
    <tableColumn id="4" xr3:uid="{85ECA326-2EC5-44C1-942F-C319EC6FBAD9}" name="Price ($)" dataDxfId="14"/>
    <tableColumn id="5" xr3:uid="{79052D61-3D10-4B2D-B7FC-9293579D45D0}" name="Quantity" dataDxfId="13"/>
    <tableColumn id="6" xr3:uid="{696138D2-64A1-4AC5-AC94-F45A61331434}" name="Category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opLeftCell="A28" workbookViewId="0">
      <selection activeCell="G45" sqref="G45"/>
    </sheetView>
  </sheetViews>
  <sheetFormatPr defaultRowHeight="15" x14ac:dyDescent="0.25"/>
  <cols>
    <col min="1" max="1" width="15.5703125" customWidth="1"/>
    <col min="2" max="2" width="18.85546875" customWidth="1"/>
    <col min="3" max="3" width="17.85546875" customWidth="1"/>
    <col min="4" max="4" width="14" customWidth="1"/>
    <col min="5" max="5" width="14.28515625" customWidth="1"/>
    <col min="6" max="6" width="18" customWidth="1"/>
  </cols>
  <sheetData>
    <row r="1" spans="1:6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25">
      <c r="A2" s="6" t="s">
        <v>6</v>
      </c>
      <c r="B2" s="7" t="s">
        <v>7</v>
      </c>
      <c r="C2" s="7" t="s">
        <v>8</v>
      </c>
      <c r="D2" s="8">
        <v>1000</v>
      </c>
      <c r="E2" s="8">
        <v>30</v>
      </c>
      <c r="F2" s="9" t="s">
        <v>9</v>
      </c>
    </row>
    <row r="3" spans="1:6" x14ac:dyDescent="0.25">
      <c r="A3" s="10" t="s">
        <v>10</v>
      </c>
      <c r="B3" s="11" t="s">
        <v>11</v>
      </c>
      <c r="C3" s="11" t="s">
        <v>12</v>
      </c>
      <c r="D3" s="12">
        <v>80</v>
      </c>
      <c r="E3" s="12">
        <v>15</v>
      </c>
      <c r="F3" s="13" t="s">
        <v>13</v>
      </c>
    </row>
    <row r="4" spans="1:6" x14ac:dyDescent="0.25">
      <c r="A4" s="6" t="s">
        <v>14</v>
      </c>
      <c r="B4" s="7" t="s">
        <v>15</v>
      </c>
      <c r="C4" s="7" t="s">
        <v>16</v>
      </c>
      <c r="D4" s="8">
        <v>130</v>
      </c>
      <c r="E4" s="8">
        <v>40</v>
      </c>
      <c r="F4" s="9" t="s">
        <v>17</v>
      </c>
    </row>
    <row r="5" spans="1:6" x14ac:dyDescent="0.25">
      <c r="A5" s="10" t="s">
        <v>18</v>
      </c>
      <c r="B5" s="11" t="s">
        <v>19</v>
      </c>
      <c r="C5" s="11" t="s">
        <v>20</v>
      </c>
      <c r="D5" s="12">
        <v>900</v>
      </c>
      <c r="E5" s="12">
        <v>25</v>
      </c>
      <c r="F5" s="13" t="s">
        <v>9</v>
      </c>
    </row>
    <row r="6" spans="1:6" x14ac:dyDescent="0.25">
      <c r="A6" s="6" t="s">
        <v>21</v>
      </c>
      <c r="B6" s="7" t="s">
        <v>22</v>
      </c>
      <c r="C6" s="7" t="s">
        <v>23</v>
      </c>
      <c r="D6" s="8">
        <v>70</v>
      </c>
      <c r="E6" s="8">
        <v>20</v>
      </c>
      <c r="F6" s="9" t="s">
        <v>24</v>
      </c>
    </row>
    <row r="7" spans="1:6" x14ac:dyDescent="0.25">
      <c r="A7" s="10" t="s">
        <v>25</v>
      </c>
      <c r="B7" s="11" t="s">
        <v>26</v>
      </c>
      <c r="C7" s="11" t="s">
        <v>27</v>
      </c>
      <c r="D7" s="12">
        <v>200</v>
      </c>
      <c r="E7" s="12">
        <v>45</v>
      </c>
      <c r="F7" s="13" t="s">
        <v>9</v>
      </c>
    </row>
    <row r="8" spans="1:6" x14ac:dyDescent="0.25">
      <c r="A8" s="6" t="s">
        <v>28</v>
      </c>
      <c r="B8" s="7" t="s">
        <v>29</v>
      </c>
      <c r="C8" s="7" t="s">
        <v>30</v>
      </c>
      <c r="D8" s="8">
        <v>30</v>
      </c>
      <c r="E8" s="8">
        <v>5</v>
      </c>
      <c r="F8" s="9" t="s">
        <v>13</v>
      </c>
    </row>
    <row r="9" spans="1:6" x14ac:dyDescent="0.25">
      <c r="A9" s="10" t="s">
        <v>31</v>
      </c>
      <c r="B9" s="11" t="s">
        <v>32</v>
      </c>
      <c r="C9" s="11" t="s">
        <v>33</v>
      </c>
      <c r="D9" s="12">
        <v>90</v>
      </c>
      <c r="E9" s="12">
        <v>35</v>
      </c>
      <c r="F9" s="13" t="s">
        <v>17</v>
      </c>
    </row>
    <row r="10" spans="1:6" x14ac:dyDescent="0.25">
      <c r="A10" s="6" t="s">
        <v>34</v>
      </c>
      <c r="B10" s="7" t="s">
        <v>35</v>
      </c>
      <c r="C10" s="7" t="s">
        <v>36</v>
      </c>
      <c r="D10" s="8">
        <v>500</v>
      </c>
      <c r="E10" s="8">
        <v>50</v>
      </c>
      <c r="F10" s="9" t="s">
        <v>9</v>
      </c>
    </row>
    <row r="11" spans="1:6" x14ac:dyDescent="0.25">
      <c r="A11" s="10" t="s">
        <v>37</v>
      </c>
      <c r="B11" s="11" t="s">
        <v>38</v>
      </c>
      <c r="C11" s="11" t="s">
        <v>39</v>
      </c>
      <c r="D11" s="12">
        <v>130</v>
      </c>
      <c r="E11" s="12">
        <v>10</v>
      </c>
      <c r="F11" s="13" t="s">
        <v>24</v>
      </c>
    </row>
    <row r="12" spans="1:6" x14ac:dyDescent="0.25">
      <c r="A12" s="6" t="s">
        <v>40</v>
      </c>
      <c r="B12" s="7" t="s">
        <v>7</v>
      </c>
      <c r="C12" s="7" t="s">
        <v>41</v>
      </c>
      <c r="D12" s="8">
        <v>950</v>
      </c>
      <c r="E12" s="8">
        <v>25</v>
      </c>
      <c r="F12" s="9" t="s">
        <v>9</v>
      </c>
    </row>
    <row r="13" spans="1:6" x14ac:dyDescent="0.25">
      <c r="A13" s="10" t="s">
        <v>42</v>
      </c>
      <c r="B13" s="11" t="s">
        <v>11</v>
      </c>
      <c r="C13" s="11" t="s">
        <v>30</v>
      </c>
      <c r="D13" s="12">
        <v>90</v>
      </c>
      <c r="E13" s="12">
        <v>40</v>
      </c>
      <c r="F13" s="13" t="s">
        <v>13</v>
      </c>
    </row>
    <row r="14" spans="1:6" x14ac:dyDescent="0.25">
      <c r="A14" s="6" t="s">
        <v>43</v>
      </c>
      <c r="B14" s="7" t="s">
        <v>15</v>
      </c>
      <c r="C14" s="7" t="s">
        <v>44</v>
      </c>
      <c r="D14" s="8">
        <v>120</v>
      </c>
      <c r="E14" s="8">
        <v>35</v>
      </c>
      <c r="F14" s="9" t="s">
        <v>17</v>
      </c>
    </row>
    <row r="15" spans="1:6" x14ac:dyDescent="0.25">
      <c r="A15" s="10" t="s">
        <v>45</v>
      </c>
      <c r="B15" s="11" t="s">
        <v>46</v>
      </c>
      <c r="C15" s="11" t="s">
        <v>47</v>
      </c>
      <c r="D15" s="12">
        <v>150</v>
      </c>
      <c r="E15" s="12">
        <v>15</v>
      </c>
      <c r="F15" s="13" t="s">
        <v>9</v>
      </c>
    </row>
    <row r="16" spans="1:6" x14ac:dyDescent="0.25">
      <c r="A16" s="6" t="s">
        <v>48</v>
      </c>
      <c r="B16" s="7" t="s">
        <v>26</v>
      </c>
      <c r="C16" s="7" t="s">
        <v>49</v>
      </c>
      <c r="D16" s="8">
        <v>250</v>
      </c>
      <c r="E16" s="8">
        <v>20</v>
      </c>
      <c r="F16" s="9" t="s">
        <v>9</v>
      </c>
    </row>
    <row r="17" spans="1:6" x14ac:dyDescent="0.25">
      <c r="A17" s="10" t="s">
        <v>50</v>
      </c>
      <c r="B17" s="11" t="s">
        <v>51</v>
      </c>
      <c r="C17" s="11" t="s">
        <v>52</v>
      </c>
      <c r="D17" s="12">
        <v>50</v>
      </c>
      <c r="E17" s="12">
        <v>35</v>
      </c>
      <c r="F17" s="13" t="s">
        <v>53</v>
      </c>
    </row>
    <row r="18" spans="1:6" x14ac:dyDescent="0.25">
      <c r="A18" s="6" t="s">
        <v>54</v>
      </c>
      <c r="B18" s="7" t="s">
        <v>46</v>
      </c>
      <c r="C18" s="7" t="s">
        <v>55</v>
      </c>
      <c r="D18" s="8">
        <v>160</v>
      </c>
      <c r="E18" s="8">
        <v>15</v>
      </c>
      <c r="F18" s="9" t="s">
        <v>9</v>
      </c>
    </row>
    <row r="19" spans="1:6" x14ac:dyDescent="0.25">
      <c r="A19" s="10" t="s">
        <v>56</v>
      </c>
      <c r="B19" s="11" t="s">
        <v>7</v>
      </c>
      <c r="C19" s="11" t="s">
        <v>57</v>
      </c>
      <c r="D19" s="12">
        <v>980</v>
      </c>
      <c r="E19" s="12">
        <v>10</v>
      </c>
      <c r="F19" s="13" t="s">
        <v>9</v>
      </c>
    </row>
    <row r="20" spans="1:6" x14ac:dyDescent="0.25">
      <c r="A20" s="6" t="s">
        <v>58</v>
      </c>
      <c r="B20" s="7" t="s">
        <v>59</v>
      </c>
      <c r="C20" s="7" t="s">
        <v>60</v>
      </c>
      <c r="D20" s="8">
        <v>150</v>
      </c>
      <c r="E20" s="8">
        <v>15</v>
      </c>
      <c r="F20" s="9" t="s">
        <v>13</v>
      </c>
    </row>
    <row r="21" spans="1:6" x14ac:dyDescent="0.25">
      <c r="A21" s="10" t="s">
        <v>61</v>
      </c>
      <c r="B21" s="11" t="s">
        <v>62</v>
      </c>
      <c r="C21" s="11" t="s">
        <v>63</v>
      </c>
      <c r="D21" s="12">
        <v>200</v>
      </c>
      <c r="E21" s="12">
        <v>10</v>
      </c>
      <c r="F21" s="13" t="s">
        <v>24</v>
      </c>
    </row>
    <row r="22" spans="1:6" x14ac:dyDescent="0.25">
      <c r="A22" s="6" t="s">
        <v>64</v>
      </c>
      <c r="B22" s="7" t="s">
        <v>65</v>
      </c>
      <c r="C22" s="7" t="s">
        <v>66</v>
      </c>
      <c r="D22" s="8">
        <v>700</v>
      </c>
      <c r="E22" s="8">
        <v>50</v>
      </c>
      <c r="F22" s="9" t="s">
        <v>9</v>
      </c>
    </row>
    <row r="23" spans="1:6" x14ac:dyDescent="0.25">
      <c r="A23" s="10" t="s">
        <v>67</v>
      </c>
      <c r="B23" s="11" t="s">
        <v>68</v>
      </c>
      <c r="C23" s="11" t="s">
        <v>69</v>
      </c>
      <c r="D23" s="12">
        <v>80</v>
      </c>
      <c r="E23" s="12">
        <v>20</v>
      </c>
      <c r="F23" s="13" t="s">
        <v>17</v>
      </c>
    </row>
    <row r="24" spans="1:6" x14ac:dyDescent="0.25">
      <c r="A24" s="6" t="s">
        <v>70</v>
      </c>
      <c r="B24" s="7" t="s">
        <v>71</v>
      </c>
      <c r="C24" s="7" t="s">
        <v>72</v>
      </c>
      <c r="D24" s="8">
        <v>150</v>
      </c>
      <c r="E24" s="8">
        <v>30</v>
      </c>
      <c r="F24" s="9" t="s">
        <v>9</v>
      </c>
    </row>
    <row r="25" spans="1:6" x14ac:dyDescent="0.25">
      <c r="A25" s="10" t="s">
        <v>50</v>
      </c>
      <c r="B25" s="11" t="s">
        <v>51</v>
      </c>
      <c r="C25" s="11" t="s">
        <v>52</v>
      </c>
      <c r="D25" s="12">
        <v>50</v>
      </c>
      <c r="E25" s="12">
        <v>35</v>
      </c>
      <c r="F25" s="13" t="s">
        <v>53</v>
      </c>
    </row>
    <row r="26" spans="1:6" x14ac:dyDescent="0.25">
      <c r="A26" s="6" t="s">
        <v>73</v>
      </c>
      <c r="B26" s="7" t="s">
        <v>19</v>
      </c>
      <c r="C26" s="7" t="s">
        <v>74</v>
      </c>
      <c r="D26" s="8">
        <v>800</v>
      </c>
      <c r="E26" s="8">
        <v>45</v>
      </c>
      <c r="F26" s="9" t="s">
        <v>9</v>
      </c>
    </row>
    <row r="27" spans="1:6" x14ac:dyDescent="0.25">
      <c r="A27" s="10" t="s">
        <v>75</v>
      </c>
      <c r="B27" s="11" t="s">
        <v>59</v>
      </c>
      <c r="C27" s="11" t="s">
        <v>76</v>
      </c>
      <c r="D27" s="12">
        <v>130</v>
      </c>
      <c r="E27" s="12">
        <v>25</v>
      </c>
      <c r="F27" s="13" t="s">
        <v>13</v>
      </c>
    </row>
    <row r="28" spans="1:6" x14ac:dyDescent="0.25">
      <c r="A28" s="6" t="s">
        <v>77</v>
      </c>
      <c r="B28" s="7" t="s">
        <v>32</v>
      </c>
      <c r="C28" s="7" t="s">
        <v>78</v>
      </c>
      <c r="D28" s="8">
        <v>400</v>
      </c>
      <c r="E28" s="8">
        <v>40</v>
      </c>
      <c r="F28" s="9" t="s">
        <v>17</v>
      </c>
    </row>
    <row r="29" spans="1:6" x14ac:dyDescent="0.25">
      <c r="A29" s="10" t="s">
        <v>48</v>
      </c>
      <c r="B29" s="11" t="s">
        <v>26</v>
      </c>
      <c r="C29" s="11" t="s">
        <v>49</v>
      </c>
      <c r="D29" s="12">
        <v>230</v>
      </c>
      <c r="E29" s="12">
        <v>20</v>
      </c>
      <c r="F29" s="13" t="s">
        <v>9</v>
      </c>
    </row>
    <row r="30" spans="1:6" x14ac:dyDescent="0.25">
      <c r="A30" s="6" t="s">
        <v>79</v>
      </c>
      <c r="B30" s="7" t="s">
        <v>80</v>
      </c>
      <c r="C30" s="7" t="s">
        <v>81</v>
      </c>
      <c r="D30" s="8">
        <v>60</v>
      </c>
      <c r="E30" s="8">
        <v>30</v>
      </c>
      <c r="F30" s="9" t="s">
        <v>13</v>
      </c>
    </row>
    <row r="31" spans="1:6" x14ac:dyDescent="0.25">
      <c r="A31" s="10" t="s">
        <v>82</v>
      </c>
      <c r="B31" s="11" t="s">
        <v>83</v>
      </c>
      <c r="C31" s="11" t="s">
        <v>84</v>
      </c>
      <c r="D31" s="12">
        <v>40</v>
      </c>
      <c r="E31" s="12">
        <v>10</v>
      </c>
      <c r="F31" s="13" t="s">
        <v>17</v>
      </c>
    </row>
    <row r="32" spans="1:6" x14ac:dyDescent="0.25">
      <c r="A32" s="6" t="s">
        <v>85</v>
      </c>
      <c r="B32" s="7" t="s">
        <v>71</v>
      </c>
      <c r="C32" s="7" t="s">
        <v>86</v>
      </c>
      <c r="D32" s="8">
        <v>130</v>
      </c>
      <c r="E32" s="8">
        <v>5</v>
      </c>
      <c r="F32" s="9" t="s">
        <v>9</v>
      </c>
    </row>
    <row r="33" spans="1:6" x14ac:dyDescent="0.25">
      <c r="A33" s="10" t="s">
        <v>87</v>
      </c>
      <c r="B33" s="11" t="s">
        <v>88</v>
      </c>
      <c r="C33" s="11" t="s">
        <v>89</v>
      </c>
      <c r="D33" s="12">
        <v>50</v>
      </c>
      <c r="E33" s="12">
        <v>50</v>
      </c>
      <c r="F33" s="13" t="s">
        <v>13</v>
      </c>
    </row>
    <row r="34" spans="1:6" ht="23.25" customHeight="1" x14ac:dyDescent="0.25">
      <c r="A34" s="6" t="s">
        <v>40</v>
      </c>
      <c r="B34" s="7" t="s">
        <v>7</v>
      </c>
      <c r="C34" s="7" t="s">
        <v>41</v>
      </c>
      <c r="D34" s="8">
        <v>950</v>
      </c>
      <c r="E34" s="8">
        <v>25</v>
      </c>
      <c r="F34" s="9" t="s">
        <v>9</v>
      </c>
    </row>
    <row r="35" spans="1:6" ht="25.5" customHeight="1" x14ac:dyDescent="0.25">
      <c r="A35" s="14" t="s">
        <v>90</v>
      </c>
      <c r="B35" s="15" t="s">
        <v>91</v>
      </c>
      <c r="C35" s="15" t="s">
        <v>92</v>
      </c>
      <c r="D35" s="16">
        <v>100</v>
      </c>
      <c r="E35" s="16">
        <v>20</v>
      </c>
      <c r="F35" s="17" t="s">
        <v>53</v>
      </c>
    </row>
    <row r="36" spans="1:6" ht="15.75" thickBot="1" x14ac:dyDescent="0.3">
      <c r="A36" s="2"/>
      <c r="B36" s="2"/>
      <c r="C36" s="2"/>
      <c r="D36" s="2"/>
      <c r="E36" s="2"/>
      <c r="F36" s="2"/>
    </row>
    <row r="39" spans="1:6" x14ac:dyDescent="0.25">
      <c r="C39" s="18"/>
    </row>
    <row r="40" spans="1:6" x14ac:dyDescent="0.25">
      <c r="C40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9D9A-2CF6-49AB-AE5B-D3D746257C6D}">
  <dimension ref="B4:C6"/>
  <sheetViews>
    <sheetView workbookViewId="0">
      <selection activeCell="E17" sqref="E17"/>
    </sheetView>
  </sheetViews>
  <sheetFormatPr defaultRowHeight="15" x14ac:dyDescent="0.25"/>
  <cols>
    <col min="3" max="3" width="12.5703125" customWidth="1"/>
  </cols>
  <sheetData>
    <row r="4" spans="2:3" x14ac:dyDescent="0.25">
      <c r="B4" s="22" t="s">
        <v>93</v>
      </c>
      <c r="C4" s="21">
        <v>10100</v>
      </c>
    </row>
    <row r="5" spans="2:3" x14ac:dyDescent="0.25">
      <c r="B5" s="22" t="s">
        <v>94</v>
      </c>
      <c r="C5" s="21">
        <v>34</v>
      </c>
    </row>
    <row r="6" spans="2:3" x14ac:dyDescent="0.25">
      <c r="B6" s="22" t="s">
        <v>95</v>
      </c>
      <c r="C6" s="21">
        <v>297.05880000000002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2886-05AE-498D-AD24-BB8D23C5F559}">
  <dimension ref="A1:G35"/>
  <sheetViews>
    <sheetView topLeftCell="A25" workbookViewId="0">
      <selection activeCell="C43" sqref="C43"/>
    </sheetView>
  </sheetViews>
  <sheetFormatPr defaultRowHeight="15" x14ac:dyDescent="0.25"/>
  <cols>
    <col min="1" max="1" width="17.7109375" customWidth="1"/>
    <col min="2" max="3" width="16.140625" customWidth="1"/>
    <col min="4" max="4" width="12.42578125" customWidth="1"/>
    <col min="5" max="5" width="17.85546875" customWidth="1"/>
    <col min="6" max="6" width="16.140625" customWidth="1"/>
    <col min="7" max="7" width="15.85546875" customWidth="1"/>
  </cols>
  <sheetData>
    <row r="1" spans="1:7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99</v>
      </c>
      <c r="F1" s="4" t="s">
        <v>4</v>
      </c>
      <c r="G1" s="5" t="s">
        <v>5</v>
      </c>
    </row>
    <row r="2" spans="1:7" x14ac:dyDescent="0.25">
      <c r="A2" s="6" t="s">
        <v>6</v>
      </c>
      <c r="B2" s="7" t="s">
        <v>7</v>
      </c>
      <c r="C2" s="7" t="s">
        <v>8</v>
      </c>
      <c r="D2" s="8">
        <v>1000</v>
      </c>
      <c r="E2" s="8" t="str">
        <f t="shared" ref="E2:E35" si="0">IF(D2&gt;500,"High Price","Standard Price")</f>
        <v>High Price</v>
      </c>
      <c r="F2" s="8">
        <v>30</v>
      </c>
      <c r="G2" s="9" t="s">
        <v>9</v>
      </c>
    </row>
    <row r="3" spans="1:7" x14ac:dyDescent="0.25">
      <c r="A3" s="10" t="s">
        <v>10</v>
      </c>
      <c r="B3" s="11" t="s">
        <v>11</v>
      </c>
      <c r="C3" s="11" t="s">
        <v>12</v>
      </c>
      <c r="D3" s="12">
        <v>80</v>
      </c>
      <c r="E3" s="12" t="str">
        <f t="shared" si="0"/>
        <v>Standard Price</v>
      </c>
      <c r="F3" s="12">
        <v>15</v>
      </c>
      <c r="G3" s="13" t="s">
        <v>13</v>
      </c>
    </row>
    <row r="4" spans="1:7" x14ac:dyDescent="0.25">
      <c r="A4" s="6" t="s">
        <v>14</v>
      </c>
      <c r="B4" s="7" t="s">
        <v>15</v>
      </c>
      <c r="C4" s="7" t="s">
        <v>16</v>
      </c>
      <c r="D4" s="8">
        <v>130</v>
      </c>
      <c r="E4" s="8" t="str">
        <f t="shared" si="0"/>
        <v>Standard Price</v>
      </c>
      <c r="F4" s="8">
        <v>40</v>
      </c>
      <c r="G4" s="9" t="s">
        <v>17</v>
      </c>
    </row>
    <row r="5" spans="1:7" x14ac:dyDescent="0.25">
      <c r="A5" s="10" t="s">
        <v>18</v>
      </c>
      <c r="B5" s="11" t="s">
        <v>19</v>
      </c>
      <c r="C5" s="11" t="s">
        <v>20</v>
      </c>
      <c r="D5" s="12">
        <v>900</v>
      </c>
      <c r="E5" s="12" t="str">
        <f t="shared" si="0"/>
        <v>High Price</v>
      </c>
      <c r="F5" s="12">
        <v>25</v>
      </c>
      <c r="G5" s="13" t="s">
        <v>9</v>
      </c>
    </row>
    <row r="6" spans="1:7" x14ac:dyDescent="0.25">
      <c r="A6" s="6" t="s">
        <v>21</v>
      </c>
      <c r="B6" s="7" t="s">
        <v>22</v>
      </c>
      <c r="C6" s="7" t="s">
        <v>23</v>
      </c>
      <c r="D6" s="8">
        <v>70</v>
      </c>
      <c r="E6" s="8" t="str">
        <f t="shared" si="0"/>
        <v>Standard Price</v>
      </c>
      <c r="F6" s="8">
        <v>20</v>
      </c>
      <c r="G6" s="9" t="s">
        <v>24</v>
      </c>
    </row>
    <row r="7" spans="1:7" x14ac:dyDescent="0.25">
      <c r="A7" s="10" t="s">
        <v>25</v>
      </c>
      <c r="B7" s="11" t="s">
        <v>26</v>
      </c>
      <c r="C7" s="11" t="s">
        <v>27</v>
      </c>
      <c r="D7" s="12">
        <v>200</v>
      </c>
      <c r="E7" s="12" t="str">
        <f t="shared" si="0"/>
        <v>Standard Price</v>
      </c>
      <c r="F7" s="12">
        <v>45</v>
      </c>
      <c r="G7" s="13" t="s">
        <v>9</v>
      </c>
    </row>
    <row r="8" spans="1:7" x14ac:dyDescent="0.25">
      <c r="A8" s="6" t="s">
        <v>28</v>
      </c>
      <c r="B8" s="7" t="s">
        <v>29</v>
      </c>
      <c r="C8" s="7" t="s">
        <v>30</v>
      </c>
      <c r="D8" s="8">
        <v>30</v>
      </c>
      <c r="E8" s="8" t="str">
        <f t="shared" si="0"/>
        <v>Standard Price</v>
      </c>
      <c r="F8" s="8">
        <v>5</v>
      </c>
      <c r="G8" s="9" t="s">
        <v>13</v>
      </c>
    </row>
    <row r="9" spans="1:7" x14ac:dyDescent="0.25">
      <c r="A9" s="10" t="s">
        <v>31</v>
      </c>
      <c r="B9" s="11" t="s">
        <v>32</v>
      </c>
      <c r="C9" s="11" t="s">
        <v>33</v>
      </c>
      <c r="D9" s="12">
        <v>90</v>
      </c>
      <c r="E9" s="12" t="str">
        <f t="shared" si="0"/>
        <v>Standard Price</v>
      </c>
      <c r="F9" s="12">
        <v>35</v>
      </c>
      <c r="G9" s="13" t="s">
        <v>17</v>
      </c>
    </row>
    <row r="10" spans="1:7" x14ac:dyDescent="0.25">
      <c r="A10" s="6" t="s">
        <v>34</v>
      </c>
      <c r="B10" s="7" t="s">
        <v>35</v>
      </c>
      <c r="C10" s="7" t="s">
        <v>36</v>
      </c>
      <c r="D10" s="8">
        <v>500</v>
      </c>
      <c r="E10" s="8" t="str">
        <f t="shared" si="0"/>
        <v>Standard Price</v>
      </c>
      <c r="F10" s="8">
        <v>50</v>
      </c>
      <c r="G10" s="9" t="s">
        <v>9</v>
      </c>
    </row>
    <row r="11" spans="1:7" x14ac:dyDescent="0.25">
      <c r="A11" s="10" t="s">
        <v>37</v>
      </c>
      <c r="B11" s="11" t="s">
        <v>38</v>
      </c>
      <c r="C11" s="11" t="s">
        <v>39</v>
      </c>
      <c r="D11" s="12">
        <v>130</v>
      </c>
      <c r="E11" s="12" t="str">
        <f t="shared" si="0"/>
        <v>Standard Price</v>
      </c>
      <c r="F11" s="12">
        <v>10</v>
      </c>
      <c r="G11" s="13" t="s">
        <v>24</v>
      </c>
    </row>
    <row r="12" spans="1:7" x14ac:dyDescent="0.25">
      <c r="A12" s="6" t="s">
        <v>40</v>
      </c>
      <c r="B12" s="7" t="s">
        <v>7</v>
      </c>
      <c r="C12" s="7" t="s">
        <v>41</v>
      </c>
      <c r="D12" s="8">
        <v>950</v>
      </c>
      <c r="E12" s="8" t="str">
        <f t="shared" si="0"/>
        <v>High Price</v>
      </c>
      <c r="F12" s="8">
        <v>25</v>
      </c>
      <c r="G12" s="9" t="s">
        <v>9</v>
      </c>
    </row>
    <row r="13" spans="1:7" x14ac:dyDescent="0.25">
      <c r="A13" s="10" t="s">
        <v>42</v>
      </c>
      <c r="B13" s="11" t="s">
        <v>11</v>
      </c>
      <c r="C13" s="11" t="s">
        <v>30</v>
      </c>
      <c r="D13" s="12">
        <v>90</v>
      </c>
      <c r="E13" s="12" t="str">
        <f t="shared" si="0"/>
        <v>Standard Price</v>
      </c>
      <c r="F13" s="12">
        <v>40</v>
      </c>
      <c r="G13" s="13" t="s">
        <v>13</v>
      </c>
    </row>
    <row r="14" spans="1:7" x14ac:dyDescent="0.25">
      <c r="A14" s="6" t="s">
        <v>43</v>
      </c>
      <c r="B14" s="7" t="s">
        <v>15</v>
      </c>
      <c r="C14" s="7" t="s">
        <v>44</v>
      </c>
      <c r="D14" s="8">
        <v>120</v>
      </c>
      <c r="E14" s="8" t="str">
        <f t="shared" si="0"/>
        <v>Standard Price</v>
      </c>
      <c r="F14" s="8">
        <v>35</v>
      </c>
      <c r="G14" s="9" t="s">
        <v>17</v>
      </c>
    </row>
    <row r="15" spans="1:7" x14ac:dyDescent="0.25">
      <c r="A15" s="10" t="s">
        <v>45</v>
      </c>
      <c r="B15" s="11" t="s">
        <v>46</v>
      </c>
      <c r="C15" s="11" t="s">
        <v>47</v>
      </c>
      <c r="D15" s="12">
        <v>150</v>
      </c>
      <c r="E15" s="12" t="str">
        <f t="shared" si="0"/>
        <v>Standard Price</v>
      </c>
      <c r="F15" s="12">
        <v>15</v>
      </c>
      <c r="G15" s="13" t="s">
        <v>9</v>
      </c>
    </row>
    <row r="16" spans="1:7" x14ac:dyDescent="0.25">
      <c r="A16" s="6" t="s">
        <v>48</v>
      </c>
      <c r="B16" s="7" t="s">
        <v>26</v>
      </c>
      <c r="C16" s="7" t="s">
        <v>49</v>
      </c>
      <c r="D16" s="8">
        <v>250</v>
      </c>
      <c r="E16" s="8" t="str">
        <f t="shared" si="0"/>
        <v>Standard Price</v>
      </c>
      <c r="F16" s="8">
        <v>20</v>
      </c>
      <c r="G16" s="9" t="s">
        <v>9</v>
      </c>
    </row>
    <row r="17" spans="1:7" x14ac:dyDescent="0.25">
      <c r="A17" s="10" t="s">
        <v>50</v>
      </c>
      <c r="B17" s="11" t="s">
        <v>51</v>
      </c>
      <c r="C17" s="11" t="s">
        <v>52</v>
      </c>
      <c r="D17" s="12">
        <v>50</v>
      </c>
      <c r="E17" s="12" t="str">
        <f t="shared" si="0"/>
        <v>Standard Price</v>
      </c>
      <c r="F17" s="12">
        <v>35</v>
      </c>
      <c r="G17" s="13" t="s">
        <v>53</v>
      </c>
    </row>
    <row r="18" spans="1:7" x14ac:dyDescent="0.25">
      <c r="A18" s="6" t="s">
        <v>54</v>
      </c>
      <c r="B18" s="7" t="s">
        <v>46</v>
      </c>
      <c r="C18" s="7" t="s">
        <v>55</v>
      </c>
      <c r="D18" s="8">
        <v>160</v>
      </c>
      <c r="E18" s="8" t="str">
        <f t="shared" si="0"/>
        <v>Standard Price</v>
      </c>
      <c r="F18" s="8">
        <v>15</v>
      </c>
      <c r="G18" s="9" t="s">
        <v>9</v>
      </c>
    </row>
    <row r="19" spans="1:7" x14ac:dyDescent="0.25">
      <c r="A19" s="10" t="s">
        <v>56</v>
      </c>
      <c r="B19" s="11" t="s">
        <v>7</v>
      </c>
      <c r="C19" s="11" t="s">
        <v>57</v>
      </c>
      <c r="D19" s="12">
        <v>980</v>
      </c>
      <c r="E19" s="12" t="str">
        <f t="shared" si="0"/>
        <v>High Price</v>
      </c>
      <c r="F19" s="12">
        <v>10</v>
      </c>
      <c r="G19" s="13" t="s">
        <v>9</v>
      </c>
    </row>
    <row r="20" spans="1:7" x14ac:dyDescent="0.25">
      <c r="A20" s="6" t="s">
        <v>58</v>
      </c>
      <c r="B20" s="7" t="s">
        <v>59</v>
      </c>
      <c r="C20" s="7" t="s">
        <v>60</v>
      </c>
      <c r="D20" s="8">
        <v>150</v>
      </c>
      <c r="E20" s="8" t="str">
        <f t="shared" si="0"/>
        <v>Standard Price</v>
      </c>
      <c r="F20" s="8">
        <v>15</v>
      </c>
      <c r="G20" s="9" t="s">
        <v>13</v>
      </c>
    </row>
    <row r="21" spans="1:7" x14ac:dyDescent="0.25">
      <c r="A21" s="10" t="s">
        <v>61</v>
      </c>
      <c r="B21" s="11" t="s">
        <v>62</v>
      </c>
      <c r="C21" s="11" t="s">
        <v>63</v>
      </c>
      <c r="D21" s="12">
        <v>200</v>
      </c>
      <c r="E21" s="12" t="str">
        <f t="shared" si="0"/>
        <v>Standard Price</v>
      </c>
      <c r="F21" s="12">
        <v>10</v>
      </c>
      <c r="G21" s="13" t="s">
        <v>24</v>
      </c>
    </row>
    <row r="22" spans="1:7" x14ac:dyDescent="0.25">
      <c r="A22" s="6" t="s">
        <v>64</v>
      </c>
      <c r="B22" s="7" t="s">
        <v>65</v>
      </c>
      <c r="C22" s="7" t="s">
        <v>66</v>
      </c>
      <c r="D22" s="8">
        <v>700</v>
      </c>
      <c r="E22" s="8" t="str">
        <f t="shared" si="0"/>
        <v>High Price</v>
      </c>
      <c r="F22" s="8">
        <v>50</v>
      </c>
      <c r="G22" s="9" t="s">
        <v>9</v>
      </c>
    </row>
    <row r="23" spans="1:7" x14ac:dyDescent="0.25">
      <c r="A23" s="10" t="s">
        <v>67</v>
      </c>
      <c r="B23" s="11" t="s">
        <v>68</v>
      </c>
      <c r="C23" s="11" t="s">
        <v>69</v>
      </c>
      <c r="D23" s="12">
        <v>80</v>
      </c>
      <c r="E23" s="12" t="str">
        <f t="shared" si="0"/>
        <v>Standard Price</v>
      </c>
      <c r="F23" s="12">
        <v>20</v>
      </c>
      <c r="G23" s="13" t="s">
        <v>17</v>
      </c>
    </row>
    <row r="24" spans="1:7" x14ac:dyDescent="0.25">
      <c r="A24" s="6" t="s">
        <v>70</v>
      </c>
      <c r="B24" s="7" t="s">
        <v>71</v>
      </c>
      <c r="C24" s="7" t="s">
        <v>72</v>
      </c>
      <c r="D24" s="8">
        <v>150</v>
      </c>
      <c r="E24" s="8" t="str">
        <f t="shared" si="0"/>
        <v>Standard Price</v>
      </c>
      <c r="F24" s="8">
        <v>30</v>
      </c>
      <c r="G24" s="9" t="s">
        <v>9</v>
      </c>
    </row>
    <row r="25" spans="1:7" x14ac:dyDescent="0.25">
      <c r="A25" s="10" t="s">
        <v>50</v>
      </c>
      <c r="B25" s="11" t="s">
        <v>51</v>
      </c>
      <c r="C25" s="11" t="s">
        <v>52</v>
      </c>
      <c r="D25" s="12">
        <v>50</v>
      </c>
      <c r="E25" s="12" t="str">
        <f t="shared" si="0"/>
        <v>Standard Price</v>
      </c>
      <c r="F25" s="12">
        <v>35</v>
      </c>
      <c r="G25" s="13" t="s">
        <v>53</v>
      </c>
    </row>
    <row r="26" spans="1:7" x14ac:dyDescent="0.25">
      <c r="A26" s="6" t="s">
        <v>73</v>
      </c>
      <c r="B26" s="7" t="s">
        <v>19</v>
      </c>
      <c r="C26" s="7" t="s">
        <v>74</v>
      </c>
      <c r="D26" s="8">
        <v>800</v>
      </c>
      <c r="E26" s="8" t="str">
        <f t="shared" si="0"/>
        <v>High Price</v>
      </c>
      <c r="F26" s="8">
        <v>45</v>
      </c>
      <c r="G26" s="9" t="s">
        <v>9</v>
      </c>
    </row>
    <row r="27" spans="1:7" x14ac:dyDescent="0.25">
      <c r="A27" s="10" t="s">
        <v>75</v>
      </c>
      <c r="B27" s="11" t="s">
        <v>59</v>
      </c>
      <c r="C27" s="11" t="s">
        <v>76</v>
      </c>
      <c r="D27" s="12">
        <v>130</v>
      </c>
      <c r="E27" s="12" t="str">
        <f t="shared" si="0"/>
        <v>Standard Price</v>
      </c>
      <c r="F27" s="12">
        <v>25</v>
      </c>
      <c r="G27" s="13" t="s">
        <v>13</v>
      </c>
    </row>
    <row r="28" spans="1:7" x14ac:dyDescent="0.25">
      <c r="A28" s="6" t="s">
        <v>77</v>
      </c>
      <c r="B28" s="7" t="s">
        <v>32</v>
      </c>
      <c r="C28" s="7" t="s">
        <v>78</v>
      </c>
      <c r="D28" s="8">
        <v>400</v>
      </c>
      <c r="E28" s="8" t="str">
        <f t="shared" si="0"/>
        <v>Standard Price</v>
      </c>
      <c r="F28" s="8">
        <v>40</v>
      </c>
      <c r="G28" s="9" t="s">
        <v>17</v>
      </c>
    </row>
    <row r="29" spans="1:7" x14ac:dyDescent="0.25">
      <c r="A29" s="10" t="s">
        <v>48</v>
      </c>
      <c r="B29" s="11" t="s">
        <v>26</v>
      </c>
      <c r="C29" s="11" t="s">
        <v>49</v>
      </c>
      <c r="D29" s="12">
        <v>230</v>
      </c>
      <c r="E29" s="12" t="str">
        <f t="shared" si="0"/>
        <v>Standard Price</v>
      </c>
      <c r="F29" s="12">
        <v>20</v>
      </c>
      <c r="G29" s="13" t="s">
        <v>9</v>
      </c>
    </row>
    <row r="30" spans="1:7" x14ac:dyDescent="0.25">
      <c r="A30" s="6" t="s">
        <v>79</v>
      </c>
      <c r="B30" s="7" t="s">
        <v>80</v>
      </c>
      <c r="C30" s="7" t="s">
        <v>81</v>
      </c>
      <c r="D30" s="8">
        <v>60</v>
      </c>
      <c r="E30" s="8" t="str">
        <f t="shared" si="0"/>
        <v>Standard Price</v>
      </c>
      <c r="F30" s="8">
        <v>30</v>
      </c>
      <c r="G30" s="9" t="s">
        <v>13</v>
      </c>
    </row>
    <row r="31" spans="1:7" x14ac:dyDescent="0.25">
      <c r="A31" s="10" t="s">
        <v>82</v>
      </c>
      <c r="B31" s="11" t="s">
        <v>83</v>
      </c>
      <c r="C31" s="11" t="s">
        <v>84</v>
      </c>
      <c r="D31" s="12">
        <v>40</v>
      </c>
      <c r="E31" s="12" t="str">
        <f t="shared" si="0"/>
        <v>Standard Price</v>
      </c>
      <c r="F31" s="12">
        <v>10</v>
      </c>
      <c r="G31" s="13" t="s">
        <v>17</v>
      </c>
    </row>
    <row r="32" spans="1:7" x14ac:dyDescent="0.25">
      <c r="A32" s="6" t="s">
        <v>85</v>
      </c>
      <c r="B32" s="7" t="s">
        <v>71</v>
      </c>
      <c r="C32" s="7" t="s">
        <v>86</v>
      </c>
      <c r="D32" s="8">
        <v>130</v>
      </c>
      <c r="E32" s="8" t="str">
        <f t="shared" si="0"/>
        <v>Standard Price</v>
      </c>
      <c r="F32" s="8">
        <v>5</v>
      </c>
      <c r="G32" s="9" t="s">
        <v>9</v>
      </c>
    </row>
    <row r="33" spans="1:7" x14ac:dyDescent="0.25">
      <c r="A33" s="10" t="s">
        <v>87</v>
      </c>
      <c r="B33" s="11" t="s">
        <v>88</v>
      </c>
      <c r="C33" s="11" t="s">
        <v>89</v>
      </c>
      <c r="D33" s="12">
        <v>50</v>
      </c>
      <c r="E33" s="12" t="str">
        <f t="shared" si="0"/>
        <v>Standard Price</v>
      </c>
      <c r="F33" s="12">
        <v>50</v>
      </c>
      <c r="G33" s="13" t="s">
        <v>13</v>
      </c>
    </row>
    <row r="34" spans="1:7" x14ac:dyDescent="0.25">
      <c r="A34" s="6" t="s">
        <v>40</v>
      </c>
      <c r="B34" s="7" t="s">
        <v>7</v>
      </c>
      <c r="C34" s="7" t="s">
        <v>41</v>
      </c>
      <c r="D34" s="8">
        <v>950</v>
      </c>
      <c r="E34" s="8" t="str">
        <f t="shared" si="0"/>
        <v>High Price</v>
      </c>
      <c r="F34" s="8">
        <v>25</v>
      </c>
      <c r="G34" s="9" t="s">
        <v>9</v>
      </c>
    </row>
    <row r="35" spans="1:7" x14ac:dyDescent="0.25">
      <c r="A35" s="14" t="s">
        <v>90</v>
      </c>
      <c r="B35" s="15" t="s">
        <v>91</v>
      </c>
      <c r="C35" s="15" t="s">
        <v>92</v>
      </c>
      <c r="D35" s="16">
        <v>100</v>
      </c>
      <c r="E35" s="16" t="str">
        <f t="shared" si="0"/>
        <v>Standard Price</v>
      </c>
      <c r="F35" s="16">
        <v>20</v>
      </c>
      <c r="G35" s="17" t="s"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6011-7BC6-4779-A87B-E719603D5842}">
  <dimension ref="A1:C5"/>
  <sheetViews>
    <sheetView workbookViewId="0">
      <selection activeCell="G17" sqref="G17"/>
    </sheetView>
  </sheetViews>
  <sheetFormatPr defaultRowHeight="15" x14ac:dyDescent="0.25"/>
  <cols>
    <col min="1" max="1" width="68.85546875" customWidth="1"/>
  </cols>
  <sheetData>
    <row r="1" spans="1:3" x14ac:dyDescent="0.25">
      <c r="A1" s="18" t="s">
        <v>96</v>
      </c>
    </row>
    <row r="4" spans="1:3" x14ac:dyDescent="0.25">
      <c r="A4" s="19"/>
      <c r="B4" s="20" t="s">
        <v>97</v>
      </c>
      <c r="C4" s="1">
        <v>30</v>
      </c>
    </row>
    <row r="5" spans="1:3" x14ac:dyDescent="0.25">
      <c r="A5" s="19"/>
      <c r="B5" s="20" t="s">
        <v>98</v>
      </c>
      <c r="C5" s="1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DF01-2388-4019-A154-7A23F9127516}">
  <dimension ref="A1:H35"/>
  <sheetViews>
    <sheetView tabSelected="1" topLeftCell="B22" workbookViewId="0">
      <selection activeCell="J13" sqref="J13"/>
    </sheetView>
  </sheetViews>
  <sheetFormatPr defaultRowHeight="15" x14ac:dyDescent="0.25"/>
  <cols>
    <col min="1" max="3" width="15" customWidth="1"/>
    <col min="4" max="4" width="18" customWidth="1"/>
    <col min="5" max="5" width="17.28515625" customWidth="1"/>
    <col min="6" max="6" width="15.42578125" customWidth="1"/>
    <col min="7" max="7" width="14.28515625" customWidth="1"/>
    <col min="8" max="8" width="15.7109375" customWidth="1"/>
  </cols>
  <sheetData>
    <row r="1" spans="1:8" x14ac:dyDescent="0.25">
      <c r="A1" s="3" t="s">
        <v>0</v>
      </c>
      <c r="B1" s="3" t="s">
        <v>105</v>
      </c>
      <c r="C1" s="3" t="s">
        <v>106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</row>
    <row r="2" spans="1:8" x14ac:dyDescent="0.25">
      <c r="A2" s="6" t="s">
        <v>6</v>
      </c>
      <c r="B2" s="6" t="str">
        <f t="shared" ref="B2:B35" si="0">RIGHT(A2,2)</f>
        <v>US</v>
      </c>
      <c r="C2" s="6" t="str">
        <f t="shared" ref="C2:C35" si="1">MID(A2,4,3)</f>
        <v>JAN</v>
      </c>
      <c r="D2" s="7" t="s">
        <v>7</v>
      </c>
      <c r="E2" s="7" t="s">
        <v>8</v>
      </c>
      <c r="F2" s="8">
        <v>1000</v>
      </c>
      <c r="G2" s="8">
        <v>30</v>
      </c>
      <c r="H2" s="9" t="s">
        <v>9</v>
      </c>
    </row>
    <row r="3" spans="1:8" x14ac:dyDescent="0.25">
      <c r="A3" s="10" t="s">
        <v>10</v>
      </c>
      <c r="B3" s="10" t="str">
        <f t="shared" si="0"/>
        <v>US</v>
      </c>
      <c r="C3" s="10" t="str">
        <f t="shared" si="1"/>
        <v>FEB</v>
      </c>
      <c r="D3" s="11" t="s">
        <v>11</v>
      </c>
      <c r="E3" s="11" t="s">
        <v>12</v>
      </c>
      <c r="F3" s="12">
        <v>80</v>
      </c>
      <c r="G3" s="12">
        <v>15</v>
      </c>
      <c r="H3" s="13" t="s">
        <v>13</v>
      </c>
    </row>
    <row r="4" spans="1:8" x14ac:dyDescent="0.25">
      <c r="A4" s="6" t="s">
        <v>14</v>
      </c>
      <c r="B4" s="6" t="str">
        <f t="shared" si="0"/>
        <v>US</v>
      </c>
      <c r="C4" s="6" t="str">
        <f t="shared" si="1"/>
        <v>MAR</v>
      </c>
      <c r="D4" s="7" t="s">
        <v>15</v>
      </c>
      <c r="E4" s="7" t="s">
        <v>16</v>
      </c>
      <c r="F4" s="8">
        <v>130</v>
      </c>
      <c r="G4" s="8">
        <v>40</v>
      </c>
      <c r="H4" s="9" t="s">
        <v>17</v>
      </c>
    </row>
    <row r="5" spans="1:8" x14ac:dyDescent="0.25">
      <c r="A5" s="10" t="s">
        <v>18</v>
      </c>
      <c r="B5" s="10" t="str">
        <f t="shared" si="0"/>
        <v>US</v>
      </c>
      <c r="C5" s="10" t="str">
        <f t="shared" si="1"/>
        <v>APR</v>
      </c>
      <c r="D5" s="11" t="s">
        <v>19</v>
      </c>
      <c r="E5" s="11" t="s">
        <v>20</v>
      </c>
      <c r="F5" s="12">
        <v>900</v>
      </c>
      <c r="G5" s="12">
        <v>25</v>
      </c>
      <c r="H5" s="13" t="s">
        <v>9</v>
      </c>
    </row>
    <row r="6" spans="1:8" x14ac:dyDescent="0.25">
      <c r="A6" s="6" t="s">
        <v>21</v>
      </c>
      <c r="B6" s="6" t="str">
        <f t="shared" si="0"/>
        <v>US</v>
      </c>
      <c r="C6" s="6" t="str">
        <f t="shared" si="1"/>
        <v>MAY</v>
      </c>
      <c r="D6" s="7" t="s">
        <v>22</v>
      </c>
      <c r="E6" s="7" t="s">
        <v>23</v>
      </c>
      <c r="F6" s="8">
        <v>70</v>
      </c>
      <c r="G6" s="8">
        <v>20</v>
      </c>
      <c r="H6" s="9" t="s">
        <v>24</v>
      </c>
    </row>
    <row r="7" spans="1:8" x14ac:dyDescent="0.25">
      <c r="A7" s="10" t="s">
        <v>25</v>
      </c>
      <c r="B7" s="10" t="str">
        <f t="shared" si="0"/>
        <v>UK</v>
      </c>
      <c r="C7" s="10" t="str">
        <f t="shared" si="1"/>
        <v>JUN</v>
      </c>
      <c r="D7" s="11" t="s">
        <v>26</v>
      </c>
      <c r="E7" s="11" t="s">
        <v>27</v>
      </c>
      <c r="F7" s="12">
        <v>200</v>
      </c>
      <c r="G7" s="12">
        <v>45</v>
      </c>
      <c r="H7" s="13" t="s">
        <v>9</v>
      </c>
    </row>
    <row r="8" spans="1:8" x14ac:dyDescent="0.25">
      <c r="A8" s="6" t="s">
        <v>28</v>
      </c>
      <c r="B8" s="6" t="str">
        <f t="shared" si="0"/>
        <v>UK</v>
      </c>
      <c r="C8" s="6" t="str">
        <f t="shared" si="1"/>
        <v>JUL</v>
      </c>
      <c r="D8" s="7" t="s">
        <v>29</v>
      </c>
      <c r="E8" s="7" t="s">
        <v>30</v>
      </c>
      <c r="F8" s="8">
        <v>30</v>
      </c>
      <c r="G8" s="8">
        <v>5</v>
      </c>
      <c r="H8" s="9" t="s">
        <v>13</v>
      </c>
    </row>
    <row r="9" spans="1:8" x14ac:dyDescent="0.25">
      <c r="A9" s="10" t="s">
        <v>31</v>
      </c>
      <c r="B9" s="10" t="str">
        <f t="shared" si="0"/>
        <v>UK</v>
      </c>
      <c r="C9" s="10" t="str">
        <f t="shared" si="1"/>
        <v>AUG</v>
      </c>
      <c r="D9" s="11" t="s">
        <v>32</v>
      </c>
      <c r="E9" s="11" t="s">
        <v>33</v>
      </c>
      <c r="F9" s="12">
        <v>90</v>
      </c>
      <c r="G9" s="12">
        <v>35</v>
      </c>
      <c r="H9" s="13" t="s">
        <v>17</v>
      </c>
    </row>
    <row r="10" spans="1:8" x14ac:dyDescent="0.25">
      <c r="A10" s="6" t="s">
        <v>34</v>
      </c>
      <c r="B10" s="6" t="str">
        <f t="shared" si="0"/>
        <v>UK</v>
      </c>
      <c r="C10" s="6" t="str">
        <f t="shared" si="1"/>
        <v>SEP</v>
      </c>
      <c r="D10" s="7" t="s">
        <v>35</v>
      </c>
      <c r="E10" s="7" t="s">
        <v>36</v>
      </c>
      <c r="F10" s="8">
        <v>500</v>
      </c>
      <c r="G10" s="8">
        <v>50</v>
      </c>
      <c r="H10" s="9" t="s">
        <v>9</v>
      </c>
    </row>
    <row r="11" spans="1:8" x14ac:dyDescent="0.25">
      <c r="A11" s="10" t="s">
        <v>37</v>
      </c>
      <c r="B11" s="10" t="str">
        <f t="shared" si="0"/>
        <v>UK</v>
      </c>
      <c r="C11" s="10" t="str">
        <f t="shared" si="1"/>
        <v>OCT</v>
      </c>
      <c r="D11" s="11" t="s">
        <v>38</v>
      </c>
      <c r="E11" s="11" t="s">
        <v>39</v>
      </c>
      <c r="F11" s="12">
        <v>130</v>
      </c>
      <c r="G11" s="12">
        <v>10</v>
      </c>
      <c r="H11" s="13" t="s">
        <v>24</v>
      </c>
    </row>
    <row r="12" spans="1:8" x14ac:dyDescent="0.25">
      <c r="A12" s="6" t="s">
        <v>40</v>
      </c>
      <c r="B12" s="6" t="str">
        <f t="shared" si="0"/>
        <v>IN</v>
      </c>
      <c r="C12" s="6" t="str">
        <f t="shared" si="1"/>
        <v>JUN</v>
      </c>
      <c r="D12" s="7" t="s">
        <v>7</v>
      </c>
      <c r="E12" s="7" t="s">
        <v>41</v>
      </c>
      <c r="F12" s="8">
        <v>950</v>
      </c>
      <c r="G12" s="8">
        <v>25</v>
      </c>
      <c r="H12" s="9" t="s">
        <v>9</v>
      </c>
    </row>
    <row r="13" spans="1:8" x14ac:dyDescent="0.25">
      <c r="A13" s="10" t="s">
        <v>42</v>
      </c>
      <c r="B13" s="10" t="str">
        <f t="shared" si="0"/>
        <v>AU</v>
      </c>
      <c r="C13" s="10" t="str">
        <f t="shared" si="1"/>
        <v>NOV</v>
      </c>
      <c r="D13" s="11" t="s">
        <v>11</v>
      </c>
      <c r="E13" s="11" t="s">
        <v>30</v>
      </c>
      <c r="F13" s="12">
        <v>90</v>
      </c>
      <c r="G13" s="12">
        <v>40</v>
      </c>
      <c r="H13" s="13" t="s">
        <v>13</v>
      </c>
    </row>
    <row r="14" spans="1:8" x14ac:dyDescent="0.25">
      <c r="A14" s="6" t="s">
        <v>43</v>
      </c>
      <c r="B14" s="6" t="str">
        <f t="shared" si="0"/>
        <v>DE</v>
      </c>
      <c r="C14" s="6" t="str">
        <f t="shared" si="1"/>
        <v>DEC</v>
      </c>
      <c r="D14" s="7" t="s">
        <v>15</v>
      </c>
      <c r="E14" s="7" t="s">
        <v>44</v>
      </c>
      <c r="F14" s="8">
        <v>120</v>
      </c>
      <c r="G14" s="8">
        <v>35</v>
      </c>
      <c r="H14" s="9" t="s">
        <v>17</v>
      </c>
    </row>
    <row r="15" spans="1:8" x14ac:dyDescent="0.25">
      <c r="A15" s="10" t="s">
        <v>45</v>
      </c>
      <c r="B15" s="10" t="str">
        <f t="shared" si="0"/>
        <v>CA</v>
      </c>
      <c r="C15" s="10" t="str">
        <f t="shared" si="1"/>
        <v>FEB</v>
      </c>
      <c r="D15" s="11" t="s">
        <v>46</v>
      </c>
      <c r="E15" s="11" t="s">
        <v>47</v>
      </c>
      <c r="F15" s="12">
        <v>150</v>
      </c>
      <c r="G15" s="12">
        <v>15</v>
      </c>
      <c r="H15" s="13" t="s">
        <v>9</v>
      </c>
    </row>
    <row r="16" spans="1:8" x14ac:dyDescent="0.25">
      <c r="A16" s="6" t="s">
        <v>48</v>
      </c>
      <c r="B16" s="6" t="str">
        <f t="shared" si="0"/>
        <v>ES</v>
      </c>
      <c r="C16" s="6" t="str">
        <f t="shared" si="1"/>
        <v>APR</v>
      </c>
      <c r="D16" s="7" t="s">
        <v>26</v>
      </c>
      <c r="E16" s="7" t="s">
        <v>49</v>
      </c>
      <c r="F16" s="8">
        <v>250</v>
      </c>
      <c r="G16" s="8">
        <v>20</v>
      </c>
      <c r="H16" s="9" t="s">
        <v>9</v>
      </c>
    </row>
    <row r="17" spans="1:8" x14ac:dyDescent="0.25">
      <c r="A17" s="10" t="s">
        <v>50</v>
      </c>
      <c r="B17" s="10" t="str">
        <f t="shared" si="0"/>
        <v>CA</v>
      </c>
      <c r="C17" s="10" t="str">
        <f t="shared" si="1"/>
        <v>AUG</v>
      </c>
      <c r="D17" s="11" t="s">
        <v>51</v>
      </c>
      <c r="E17" s="11" t="s">
        <v>52</v>
      </c>
      <c r="F17" s="12">
        <v>50</v>
      </c>
      <c r="G17" s="12">
        <v>35</v>
      </c>
      <c r="H17" s="13" t="s">
        <v>53</v>
      </c>
    </row>
    <row r="18" spans="1:8" x14ac:dyDescent="0.25">
      <c r="A18" s="6" t="s">
        <v>54</v>
      </c>
      <c r="B18" s="6" t="str">
        <f t="shared" si="0"/>
        <v>CN</v>
      </c>
      <c r="C18" s="6" t="str">
        <f t="shared" si="1"/>
        <v>AUG</v>
      </c>
      <c r="D18" s="7" t="s">
        <v>46</v>
      </c>
      <c r="E18" s="7" t="s">
        <v>55</v>
      </c>
      <c r="F18" s="8">
        <v>160</v>
      </c>
      <c r="G18" s="8">
        <v>15</v>
      </c>
      <c r="H18" s="9" t="s">
        <v>9</v>
      </c>
    </row>
    <row r="19" spans="1:8" x14ac:dyDescent="0.25">
      <c r="A19" s="10" t="s">
        <v>56</v>
      </c>
      <c r="B19" s="10" t="str">
        <f t="shared" si="0"/>
        <v>IT</v>
      </c>
      <c r="C19" s="10" t="str">
        <f t="shared" si="1"/>
        <v>JAN</v>
      </c>
      <c r="D19" s="11" t="s">
        <v>7</v>
      </c>
      <c r="E19" s="11" t="s">
        <v>57</v>
      </c>
      <c r="F19" s="12">
        <v>980</v>
      </c>
      <c r="G19" s="12">
        <v>10</v>
      </c>
      <c r="H19" s="13" t="s">
        <v>9</v>
      </c>
    </row>
    <row r="20" spans="1:8" x14ac:dyDescent="0.25">
      <c r="A20" s="6" t="s">
        <v>58</v>
      </c>
      <c r="B20" s="6" t="str">
        <f t="shared" si="0"/>
        <v>UK</v>
      </c>
      <c r="C20" s="6" t="str">
        <f t="shared" si="1"/>
        <v>MAR</v>
      </c>
      <c r="D20" s="7" t="s">
        <v>59</v>
      </c>
      <c r="E20" s="7" t="s">
        <v>60</v>
      </c>
      <c r="F20" s="8">
        <v>150</v>
      </c>
      <c r="G20" s="8">
        <v>15</v>
      </c>
      <c r="H20" s="9" t="s">
        <v>13</v>
      </c>
    </row>
    <row r="21" spans="1:8" x14ac:dyDescent="0.25">
      <c r="A21" s="10" t="s">
        <v>61</v>
      </c>
      <c r="B21" s="10" t="str">
        <f t="shared" si="0"/>
        <v>US</v>
      </c>
      <c r="C21" s="10" t="str">
        <f t="shared" si="1"/>
        <v>AUG</v>
      </c>
      <c r="D21" s="11" t="s">
        <v>62</v>
      </c>
      <c r="E21" s="11" t="s">
        <v>63</v>
      </c>
      <c r="F21" s="12">
        <v>200</v>
      </c>
      <c r="G21" s="12">
        <v>10</v>
      </c>
      <c r="H21" s="13" t="s">
        <v>24</v>
      </c>
    </row>
    <row r="22" spans="1:8" x14ac:dyDescent="0.25">
      <c r="A22" s="6" t="s">
        <v>64</v>
      </c>
      <c r="B22" s="6" t="str">
        <f t="shared" si="0"/>
        <v>RU</v>
      </c>
      <c r="C22" s="6" t="str">
        <f t="shared" si="1"/>
        <v>MAY</v>
      </c>
      <c r="D22" s="7" t="s">
        <v>65</v>
      </c>
      <c r="E22" s="7" t="s">
        <v>66</v>
      </c>
      <c r="F22" s="8">
        <v>700</v>
      </c>
      <c r="G22" s="8">
        <v>50</v>
      </c>
      <c r="H22" s="9" t="s">
        <v>9</v>
      </c>
    </row>
    <row r="23" spans="1:8" x14ac:dyDescent="0.25">
      <c r="A23" s="10" t="s">
        <v>67</v>
      </c>
      <c r="B23" s="10" t="str">
        <f t="shared" si="0"/>
        <v>CA</v>
      </c>
      <c r="C23" s="10" t="str">
        <f t="shared" si="1"/>
        <v>JAN</v>
      </c>
      <c r="D23" s="11" t="s">
        <v>68</v>
      </c>
      <c r="E23" s="11" t="s">
        <v>69</v>
      </c>
      <c r="F23" s="12">
        <v>80</v>
      </c>
      <c r="G23" s="12">
        <v>20</v>
      </c>
      <c r="H23" s="13" t="s">
        <v>17</v>
      </c>
    </row>
    <row r="24" spans="1:8" x14ac:dyDescent="0.25">
      <c r="A24" s="6" t="s">
        <v>70</v>
      </c>
      <c r="B24" s="6" t="str">
        <f t="shared" si="0"/>
        <v>BR</v>
      </c>
      <c r="C24" s="6" t="str">
        <f t="shared" si="1"/>
        <v>JUL</v>
      </c>
      <c r="D24" s="7" t="s">
        <v>71</v>
      </c>
      <c r="E24" s="7" t="s">
        <v>72</v>
      </c>
      <c r="F24" s="8">
        <v>150</v>
      </c>
      <c r="G24" s="8">
        <v>30</v>
      </c>
      <c r="H24" s="9" t="s">
        <v>9</v>
      </c>
    </row>
    <row r="25" spans="1:8" x14ac:dyDescent="0.25">
      <c r="A25" s="10" t="s">
        <v>50</v>
      </c>
      <c r="B25" s="10" t="str">
        <f t="shared" si="0"/>
        <v>CA</v>
      </c>
      <c r="C25" s="10" t="str">
        <f t="shared" si="1"/>
        <v>AUG</v>
      </c>
      <c r="D25" s="11" t="s">
        <v>51</v>
      </c>
      <c r="E25" s="11" t="s">
        <v>52</v>
      </c>
      <c r="F25" s="12">
        <v>50</v>
      </c>
      <c r="G25" s="12">
        <v>35</v>
      </c>
      <c r="H25" s="13" t="s">
        <v>53</v>
      </c>
    </row>
    <row r="26" spans="1:8" x14ac:dyDescent="0.25">
      <c r="A26" s="6" t="s">
        <v>73</v>
      </c>
      <c r="B26" s="6" t="str">
        <f t="shared" si="0"/>
        <v>CA</v>
      </c>
      <c r="C26" s="6" t="str">
        <f t="shared" si="1"/>
        <v>SEP</v>
      </c>
      <c r="D26" s="7" t="s">
        <v>19</v>
      </c>
      <c r="E26" s="7" t="s">
        <v>74</v>
      </c>
      <c r="F26" s="8">
        <v>800</v>
      </c>
      <c r="G26" s="8">
        <v>45</v>
      </c>
      <c r="H26" s="9" t="s">
        <v>9</v>
      </c>
    </row>
    <row r="27" spans="1:8" x14ac:dyDescent="0.25">
      <c r="A27" s="10" t="s">
        <v>75</v>
      </c>
      <c r="B27" s="10" t="str">
        <f t="shared" si="0"/>
        <v>CA</v>
      </c>
      <c r="C27" s="10" t="str">
        <f t="shared" si="1"/>
        <v>JUN</v>
      </c>
      <c r="D27" s="11" t="s">
        <v>59</v>
      </c>
      <c r="E27" s="11" t="s">
        <v>76</v>
      </c>
      <c r="F27" s="12">
        <v>130</v>
      </c>
      <c r="G27" s="12">
        <v>25</v>
      </c>
      <c r="H27" s="13" t="s">
        <v>13</v>
      </c>
    </row>
    <row r="28" spans="1:8" x14ac:dyDescent="0.25">
      <c r="A28" s="6" t="s">
        <v>77</v>
      </c>
      <c r="B28" s="6" t="str">
        <f t="shared" si="0"/>
        <v>CA</v>
      </c>
      <c r="C28" s="6" t="str">
        <f t="shared" si="1"/>
        <v>JUL</v>
      </c>
      <c r="D28" s="7" t="s">
        <v>32</v>
      </c>
      <c r="E28" s="7" t="s">
        <v>78</v>
      </c>
      <c r="F28" s="8">
        <v>400</v>
      </c>
      <c r="G28" s="8">
        <v>40</v>
      </c>
      <c r="H28" s="9" t="s">
        <v>17</v>
      </c>
    </row>
    <row r="29" spans="1:8" x14ac:dyDescent="0.25">
      <c r="A29" s="10" t="s">
        <v>48</v>
      </c>
      <c r="B29" s="10" t="str">
        <f t="shared" si="0"/>
        <v>ES</v>
      </c>
      <c r="C29" s="10" t="str">
        <f t="shared" si="1"/>
        <v>APR</v>
      </c>
      <c r="D29" s="11" t="s">
        <v>26</v>
      </c>
      <c r="E29" s="11" t="s">
        <v>49</v>
      </c>
      <c r="F29" s="12">
        <v>230</v>
      </c>
      <c r="G29" s="12">
        <v>20</v>
      </c>
      <c r="H29" s="13" t="s">
        <v>9</v>
      </c>
    </row>
    <row r="30" spans="1:8" x14ac:dyDescent="0.25">
      <c r="A30" s="6" t="s">
        <v>79</v>
      </c>
      <c r="B30" s="6" t="str">
        <f t="shared" si="0"/>
        <v>CA</v>
      </c>
      <c r="C30" s="6" t="str">
        <f t="shared" si="1"/>
        <v>MAR</v>
      </c>
      <c r="D30" s="7" t="s">
        <v>80</v>
      </c>
      <c r="E30" s="7" t="s">
        <v>81</v>
      </c>
      <c r="F30" s="8">
        <v>60</v>
      </c>
      <c r="G30" s="8">
        <v>30</v>
      </c>
      <c r="H30" s="9" t="s">
        <v>13</v>
      </c>
    </row>
    <row r="31" spans="1:8" x14ac:dyDescent="0.25">
      <c r="A31" s="10" t="s">
        <v>82</v>
      </c>
      <c r="B31" s="10" t="str">
        <f t="shared" si="0"/>
        <v>CA</v>
      </c>
      <c r="C31" s="10" t="str">
        <f t="shared" si="1"/>
        <v>APR</v>
      </c>
      <c r="D31" s="11" t="s">
        <v>83</v>
      </c>
      <c r="E31" s="11" t="s">
        <v>84</v>
      </c>
      <c r="F31" s="12">
        <v>40</v>
      </c>
      <c r="G31" s="12">
        <v>10</v>
      </c>
      <c r="H31" s="13" t="s">
        <v>17</v>
      </c>
    </row>
    <row r="32" spans="1:8" x14ac:dyDescent="0.25">
      <c r="A32" s="6" t="s">
        <v>85</v>
      </c>
      <c r="B32" s="6" t="str">
        <f t="shared" si="0"/>
        <v>CA</v>
      </c>
      <c r="C32" s="6" t="str">
        <f t="shared" si="1"/>
        <v>MAY</v>
      </c>
      <c r="D32" s="7" t="s">
        <v>71</v>
      </c>
      <c r="E32" s="7" t="s">
        <v>86</v>
      </c>
      <c r="F32" s="8">
        <v>130</v>
      </c>
      <c r="G32" s="8">
        <v>5</v>
      </c>
      <c r="H32" s="9" t="s">
        <v>9</v>
      </c>
    </row>
    <row r="33" spans="1:8" x14ac:dyDescent="0.25">
      <c r="A33" s="10" t="s">
        <v>87</v>
      </c>
      <c r="B33" s="10" t="str">
        <f t="shared" si="0"/>
        <v>CA</v>
      </c>
      <c r="C33" s="10" t="str">
        <f t="shared" si="1"/>
        <v>DEC</v>
      </c>
      <c r="D33" s="11" t="s">
        <v>88</v>
      </c>
      <c r="E33" s="11" t="s">
        <v>89</v>
      </c>
      <c r="F33" s="12">
        <v>50</v>
      </c>
      <c r="G33" s="12">
        <v>50</v>
      </c>
      <c r="H33" s="13" t="s">
        <v>13</v>
      </c>
    </row>
    <row r="34" spans="1:8" x14ac:dyDescent="0.25">
      <c r="A34" s="6" t="s">
        <v>40</v>
      </c>
      <c r="B34" s="6" t="str">
        <f t="shared" si="0"/>
        <v>IN</v>
      </c>
      <c r="C34" s="6" t="str">
        <f t="shared" si="1"/>
        <v>JUN</v>
      </c>
      <c r="D34" s="7" t="s">
        <v>7</v>
      </c>
      <c r="E34" s="7" t="s">
        <v>41</v>
      </c>
      <c r="F34" s="8">
        <v>950</v>
      </c>
      <c r="G34" s="8">
        <v>25</v>
      </c>
      <c r="H34" s="9" t="s">
        <v>9</v>
      </c>
    </row>
    <row r="35" spans="1:8" x14ac:dyDescent="0.25">
      <c r="A35" s="14" t="s">
        <v>90</v>
      </c>
      <c r="B35" s="14" t="str">
        <f t="shared" si="0"/>
        <v>FR</v>
      </c>
      <c r="C35" s="14" t="str">
        <f t="shared" si="1"/>
        <v>JUL</v>
      </c>
      <c r="D35" s="15" t="s">
        <v>91</v>
      </c>
      <c r="E35" s="15" t="s">
        <v>92</v>
      </c>
      <c r="F35" s="16">
        <v>100</v>
      </c>
      <c r="G35" s="16">
        <v>20</v>
      </c>
      <c r="H35" s="17" t="s">
        <v>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C168-8848-4689-B2BA-CAB6FD271334}">
  <dimension ref="A1:G43"/>
  <sheetViews>
    <sheetView workbookViewId="0">
      <selection activeCell="G10" sqref="G10"/>
    </sheetView>
  </sheetViews>
  <sheetFormatPr defaultRowHeight="15" x14ac:dyDescent="0.25"/>
  <cols>
    <col min="1" max="1" width="15.5703125" customWidth="1"/>
    <col min="2" max="2" width="18.85546875" customWidth="1"/>
    <col min="3" max="3" width="17.85546875" customWidth="1"/>
    <col min="4" max="4" width="14" customWidth="1"/>
    <col min="5" max="5" width="14.28515625" customWidth="1"/>
    <col min="6" max="6" width="18" customWidth="1"/>
  </cols>
  <sheetData>
    <row r="1" spans="1:6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25">
      <c r="A2" s="6" t="s">
        <v>6</v>
      </c>
      <c r="B2" s="7" t="s">
        <v>7</v>
      </c>
      <c r="C2" s="7" t="s">
        <v>8</v>
      </c>
      <c r="D2" s="8">
        <v>1000</v>
      </c>
      <c r="E2" s="8">
        <v>30</v>
      </c>
      <c r="F2" s="9" t="s">
        <v>9</v>
      </c>
    </row>
    <row r="3" spans="1:6" x14ac:dyDescent="0.25">
      <c r="A3" s="10" t="s">
        <v>10</v>
      </c>
      <c r="B3" s="11" t="s">
        <v>11</v>
      </c>
      <c r="C3" s="11" t="s">
        <v>12</v>
      </c>
      <c r="D3" s="12">
        <v>80</v>
      </c>
      <c r="E3" s="12">
        <v>15</v>
      </c>
      <c r="F3" s="13" t="s">
        <v>13</v>
      </c>
    </row>
    <row r="4" spans="1:6" x14ac:dyDescent="0.25">
      <c r="A4" s="6" t="s">
        <v>14</v>
      </c>
      <c r="B4" s="7" t="s">
        <v>15</v>
      </c>
      <c r="C4" s="7" t="s">
        <v>16</v>
      </c>
      <c r="D4" s="8">
        <v>130</v>
      </c>
      <c r="E4" s="8">
        <v>40</v>
      </c>
      <c r="F4" s="9" t="s">
        <v>17</v>
      </c>
    </row>
    <row r="5" spans="1:6" x14ac:dyDescent="0.25">
      <c r="A5" s="10" t="s">
        <v>18</v>
      </c>
      <c r="B5" s="11" t="s">
        <v>19</v>
      </c>
      <c r="C5" s="11" t="s">
        <v>20</v>
      </c>
      <c r="D5" s="12">
        <v>900</v>
      </c>
      <c r="E5" s="12">
        <v>25</v>
      </c>
      <c r="F5" s="13" t="s">
        <v>9</v>
      </c>
    </row>
    <row r="6" spans="1:6" x14ac:dyDescent="0.25">
      <c r="A6" s="6" t="s">
        <v>21</v>
      </c>
      <c r="B6" s="7" t="s">
        <v>22</v>
      </c>
      <c r="C6" s="7" t="s">
        <v>23</v>
      </c>
      <c r="D6" s="8">
        <v>70</v>
      </c>
      <c r="E6" s="8">
        <v>20</v>
      </c>
      <c r="F6" s="9" t="s">
        <v>24</v>
      </c>
    </row>
    <row r="7" spans="1:6" x14ac:dyDescent="0.25">
      <c r="A7" s="10" t="s">
        <v>25</v>
      </c>
      <c r="B7" s="11" t="s">
        <v>26</v>
      </c>
      <c r="C7" s="11" t="s">
        <v>27</v>
      </c>
      <c r="D7" s="12">
        <v>200</v>
      </c>
      <c r="E7" s="12">
        <v>45</v>
      </c>
      <c r="F7" s="13" t="s">
        <v>9</v>
      </c>
    </row>
    <row r="8" spans="1:6" x14ac:dyDescent="0.25">
      <c r="A8" s="6" t="s">
        <v>28</v>
      </c>
      <c r="B8" s="7" t="s">
        <v>29</v>
      </c>
      <c r="C8" s="7" t="s">
        <v>30</v>
      </c>
      <c r="D8" s="8">
        <v>30</v>
      </c>
      <c r="E8" s="8">
        <v>5</v>
      </c>
      <c r="F8" s="9" t="s">
        <v>13</v>
      </c>
    </row>
    <row r="9" spans="1:6" x14ac:dyDescent="0.25">
      <c r="A9" s="10" t="s">
        <v>31</v>
      </c>
      <c r="B9" s="11" t="s">
        <v>32</v>
      </c>
      <c r="C9" s="11" t="s">
        <v>33</v>
      </c>
      <c r="D9" s="12">
        <v>90</v>
      </c>
      <c r="E9" s="12">
        <v>35</v>
      </c>
      <c r="F9" s="13" t="s">
        <v>17</v>
      </c>
    </row>
    <row r="10" spans="1:6" x14ac:dyDescent="0.25">
      <c r="A10" s="6" t="s">
        <v>34</v>
      </c>
      <c r="B10" s="7" t="s">
        <v>35</v>
      </c>
      <c r="C10" s="7" t="s">
        <v>36</v>
      </c>
      <c r="D10" s="8">
        <v>500</v>
      </c>
      <c r="E10" s="8">
        <v>50</v>
      </c>
      <c r="F10" s="9" t="s">
        <v>9</v>
      </c>
    </row>
    <row r="11" spans="1:6" x14ac:dyDescent="0.25">
      <c r="A11" s="10" t="s">
        <v>37</v>
      </c>
      <c r="B11" s="11" t="s">
        <v>38</v>
      </c>
      <c r="C11" s="11" t="s">
        <v>39</v>
      </c>
      <c r="D11" s="12">
        <v>130</v>
      </c>
      <c r="E11" s="12">
        <v>10</v>
      </c>
      <c r="F11" s="13" t="s">
        <v>24</v>
      </c>
    </row>
    <row r="12" spans="1:6" x14ac:dyDescent="0.25">
      <c r="A12" s="6" t="s">
        <v>40</v>
      </c>
      <c r="B12" s="7" t="s">
        <v>7</v>
      </c>
      <c r="C12" s="7" t="s">
        <v>41</v>
      </c>
      <c r="D12" s="8">
        <v>950</v>
      </c>
      <c r="E12" s="8">
        <v>25</v>
      </c>
      <c r="F12" s="9" t="s">
        <v>9</v>
      </c>
    </row>
    <row r="13" spans="1:6" x14ac:dyDescent="0.25">
      <c r="A13" s="10" t="s">
        <v>42</v>
      </c>
      <c r="B13" s="11" t="s">
        <v>11</v>
      </c>
      <c r="C13" s="11" t="s">
        <v>30</v>
      </c>
      <c r="D13" s="12">
        <v>90</v>
      </c>
      <c r="E13" s="12">
        <v>40</v>
      </c>
      <c r="F13" s="13" t="s">
        <v>13</v>
      </c>
    </row>
    <row r="14" spans="1:6" x14ac:dyDescent="0.25">
      <c r="A14" s="6" t="s">
        <v>43</v>
      </c>
      <c r="B14" s="7" t="s">
        <v>15</v>
      </c>
      <c r="C14" s="7" t="s">
        <v>44</v>
      </c>
      <c r="D14" s="8">
        <v>120</v>
      </c>
      <c r="E14" s="8">
        <v>35</v>
      </c>
      <c r="F14" s="9" t="s">
        <v>17</v>
      </c>
    </row>
    <row r="15" spans="1:6" x14ac:dyDescent="0.25">
      <c r="A15" s="10" t="s">
        <v>45</v>
      </c>
      <c r="B15" s="11" t="s">
        <v>46</v>
      </c>
      <c r="C15" s="11" t="s">
        <v>47</v>
      </c>
      <c r="D15" s="12">
        <v>150</v>
      </c>
      <c r="E15" s="12">
        <v>15</v>
      </c>
      <c r="F15" s="13" t="s">
        <v>9</v>
      </c>
    </row>
    <row r="16" spans="1:6" x14ac:dyDescent="0.25">
      <c r="A16" s="6" t="s">
        <v>48</v>
      </c>
      <c r="B16" s="7" t="s">
        <v>26</v>
      </c>
      <c r="C16" s="7" t="s">
        <v>49</v>
      </c>
      <c r="D16" s="8">
        <v>250</v>
      </c>
      <c r="E16" s="8">
        <v>20</v>
      </c>
      <c r="F16" s="9" t="s">
        <v>9</v>
      </c>
    </row>
    <row r="17" spans="1:6" x14ac:dyDescent="0.25">
      <c r="A17" s="10" t="s">
        <v>50</v>
      </c>
      <c r="B17" s="11" t="s">
        <v>51</v>
      </c>
      <c r="C17" s="11" t="s">
        <v>52</v>
      </c>
      <c r="D17" s="12">
        <v>50</v>
      </c>
      <c r="E17" s="12">
        <v>35</v>
      </c>
      <c r="F17" s="13" t="s">
        <v>53</v>
      </c>
    </row>
    <row r="18" spans="1:6" x14ac:dyDescent="0.25">
      <c r="A18" s="6" t="s">
        <v>54</v>
      </c>
      <c r="B18" s="7" t="s">
        <v>46</v>
      </c>
      <c r="C18" s="7" t="s">
        <v>55</v>
      </c>
      <c r="D18" s="8">
        <v>160</v>
      </c>
      <c r="E18" s="8">
        <v>15</v>
      </c>
      <c r="F18" s="9" t="s">
        <v>9</v>
      </c>
    </row>
    <row r="19" spans="1:6" x14ac:dyDescent="0.25">
      <c r="A19" s="10" t="s">
        <v>56</v>
      </c>
      <c r="B19" s="11" t="s">
        <v>7</v>
      </c>
      <c r="C19" s="11" t="s">
        <v>57</v>
      </c>
      <c r="D19" s="12">
        <v>980</v>
      </c>
      <c r="E19" s="12">
        <v>10</v>
      </c>
      <c r="F19" s="13" t="s">
        <v>9</v>
      </c>
    </row>
    <row r="20" spans="1:6" x14ac:dyDescent="0.25">
      <c r="A20" s="6" t="s">
        <v>58</v>
      </c>
      <c r="B20" s="7" t="s">
        <v>59</v>
      </c>
      <c r="C20" s="7" t="s">
        <v>60</v>
      </c>
      <c r="D20" s="8">
        <v>150</v>
      </c>
      <c r="E20" s="8">
        <v>15</v>
      </c>
      <c r="F20" s="9" t="s">
        <v>13</v>
      </c>
    </row>
    <row r="21" spans="1:6" x14ac:dyDescent="0.25">
      <c r="A21" s="10" t="s">
        <v>61</v>
      </c>
      <c r="B21" s="11" t="s">
        <v>62</v>
      </c>
      <c r="C21" s="11" t="s">
        <v>63</v>
      </c>
      <c r="D21" s="12">
        <v>200</v>
      </c>
      <c r="E21" s="12">
        <v>10</v>
      </c>
      <c r="F21" s="13" t="s">
        <v>24</v>
      </c>
    </row>
    <row r="22" spans="1:6" x14ac:dyDescent="0.25">
      <c r="A22" s="6" t="s">
        <v>64</v>
      </c>
      <c r="B22" s="7" t="s">
        <v>65</v>
      </c>
      <c r="C22" s="7" t="s">
        <v>66</v>
      </c>
      <c r="D22" s="8">
        <v>700</v>
      </c>
      <c r="E22" s="8">
        <v>50</v>
      </c>
      <c r="F22" s="9" t="s">
        <v>9</v>
      </c>
    </row>
    <row r="23" spans="1:6" x14ac:dyDescent="0.25">
      <c r="A23" s="10" t="s">
        <v>67</v>
      </c>
      <c r="B23" s="11" t="s">
        <v>68</v>
      </c>
      <c r="C23" s="11" t="s">
        <v>69</v>
      </c>
      <c r="D23" s="12">
        <v>80</v>
      </c>
      <c r="E23" s="12">
        <v>20</v>
      </c>
      <c r="F23" s="13" t="s">
        <v>17</v>
      </c>
    </row>
    <row r="24" spans="1:6" x14ac:dyDescent="0.25">
      <c r="A24" s="6" t="s">
        <v>70</v>
      </c>
      <c r="B24" s="7" t="s">
        <v>71</v>
      </c>
      <c r="C24" s="7" t="s">
        <v>72</v>
      </c>
      <c r="D24" s="8">
        <v>150</v>
      </c>
      <c r="E24" s="8">
        <v>30</v>
      </c>
      <c r="F24" s="9" t="s">
        <v>9</v>
      </c>
    </row>
    <row r="25" spans="1:6" x14ac:dyDescent="0.25">
      <c r="A25" s="10" t="s">
        <v>50</v>
      </c>
      <c r="B25" s="11" t="s">
        <v>51</v>
      </c>
      <c r="C25" s="11" t="s">
        <v>52</v>
      </c>
      <c r="D25" s="12">
        <v>50</v>
      </c>
      <c r="E25" s="12">
        <v>35</v>
      </c>
      <c r="F25" s="13" t="s">
        <v>53</v>
      </c>
    </row>
    <row r="26" spans="1:6" x14ac:dyDescent="0.25">
      <c r="A26" s="6" t="s">
        <v>73</v>
      </c>
      <c r="B26" s="7" t="s">
        <v>19</v>
      </c>
      <c r="C26" s="7" t="s">
        <v>74</v>
      </c>
      <c r="D26" s="8">
        <v>800</v>
      </c>
      <c r="E26" s="8">
        <v>45</v>
      </c>
      <c r="F26" s="9" t="s">
        <v>9</v>
      </c>
    </row>
    <row r="27" spans="1:6" x14ac:dyDescent="0.25">
      <c r="A27" s="10" t="s">
        <v>75</v>
      </c>
      <c r="B27" s="11" t="s">
        <v>59</v>
      </c>
      <c r="C27" s="11" t="s">
        <v>76</v>
      </c>
      <c r="D27" s="12">
        <v>130</v>
      </c>
      <c r="E27" s="12">
        <v>25</v>
      </c>
      <c r="F27" s="13" t="s">
        <v>13</v>
      </c>
    </row>
    <row r="28" spans="1:6" x14ac:dyDescent="0.25">
      <c r="A28" s="6" t="s">
        <v>77</v>
      </c>
      <c r="B28" s="7" t="s">
        <v>32</v>
      </c>
      <c r="C28" s="7" t="s">
        <v>78</v>
      </c>
      <c r="D28" s="8">
        <v>400</v>
      </c>
      <c r="E28" s="8">
        <v>40</v>
      </c>
      <c r="F28" s="9" t="s">
        <v>17</v>
      </c>
    </row>
    <row r="29" spans="1:6" x14ac:dyDescent="0.25">
      <c r="A29" s="10" t="s">
        <v>48</v>
      </c>
      <c r="B29" s="11" t="s">
        <v>26</v>
      </c>
      <c r="C29" s="11" t="s">
        <v>49</v>
      </c>
      <c r="D29" s="12">
        <v>230</v>
      </c>
      <c r="E29" s="12">
        <v>20</v>
      </c>
      <c r="F29" s="13" t="s">
        <v>9</v>
      </c>
    </row>
    <row r="30" spans="1:6" x14ac:dyDescent="0.25">
      <c r="A30" s="6" t="s">
        <v>79</v>
      </c>
      <c r="B30" s="7" t="s">
        <v>80</v>
      </c>
      <c r="C30" s="7" t="s">
        <v>81</v>
      </c>
      <c r="D30" s="8">
        <v>60</v>
      </c>
      <c r="E30" s="8">
        <v>30</v>
      </c>
      <c r="F30" s="9" t="s">
        <v>13</v>
      </c>
    </row>
    <row r="31" spans="1:6" x14ac:dyDescent="0.25">
      <c r="A31" s="10" t="s">
        <v>82</v>
      </c>
      <c r="B31" s="11" t="s">
        <v>83</v>
      </c>
      <c r="C31" s="11" t="s">
        <v>84</v>
      </c>
      <c r="D31" s="12">
        <v>40</v>
      </c>
      <c r="E31" s="12">
        <v>10</v>
      </c>
      <c r="F31" s="13" t="s">
        <v>17</v>
      </c>
    </row>
    <row r="32" spans="1:6" x14ac:dyDescent="0.25">
      <c r="A32" s="6" t="s">
        <v>85</v>
      </c>
      <c r="B32" s="7" t="s">
        <v>71</v>
      </c>
      <c r="C32" s="7" t="s">
        <v>86</v>
      </c>
      <c r="D32" s="8">
        <v>130</v>
      </c>
      <c r="E32" s="8">
        <v>5</v>
      </c>
      <c r="F32" s="9" t="s">
        <v>9</v>
      </c>
    </row>
    <row r="33" spans="1:7" x14ac:dyDescent="0.25">
      <c r="A33" s="10" t="s">
        <v>87</v>
      </c>
      <c r="B33" s="11" t="s">
        <v>88</v>
      </c>
      <c r="C33" s="11" t="s">
        <v>89</v>
      </c>
      <c r="D33" s="12">
        <v>50</v>
      </c>
      <c r="E33" s="12">
        <v>50</v>
      </c>
      <c r="F33" s="13" t="s">
        <v>13</v>
      </c>
    </row>
    <row r="34" spans="1:7" ht="23.25" customHeight="1" x14ac:dyDescent="0.25">
      <c r="A34" s="6" t="s">
        <v>40</v>
      </c>
      <c r="B34" s="7" t="s">
        <v>7</v>
      </c>
      <c r="C34" s="7" t="s">
        <v>41</v>
      </c>
      <c r="D34" s="8">
        <v>950</v>
      </c>
      <c r="E34" s="8">
        <v>25</v>
      </c>
      <c r="F34" s="9" t="s">
        <v>9</v>
      </c>
    </row>
    <row r="35" spans="1:7" ht="25.5" customHeight="1" x14ac:dyDescent="0.25">
      <c r="A35" s="14" t="s">
        <v>90</v>
      </c>
      <c r="B35" s="15" t="s">
        <v>91</v>
      </c>
      <c r="C35" s="15" t="s">
        <v>92</v>
      </c>
      <c r="D35" s="16">
        <v>100</v>
      </c>
      <c r="E35" s="16">
        <v>20</v>
      </c>
      <c r="F35" s="17" t="s">
        <v>53</v>
      </c>
    </row>
    <row r="36" spans="1:7" ht="15.75" thickBot="1" x14ac:dyDescent="0.3">
      <c r="A36" s="2"/>
      <c r="B36" s="2"/>
      <c r="C36" s="2"/>
      <c r="D36" s="2"/>
      <c r="E36" s="2"/>
      <c r="F36" s="2"/>
    </row>
    <row r="38" spans="1:7" x14ac:dyDescent="0.25">
      <c r="C38" s="18"/>
    </row>
    <row r="39" spans="1:7" x14ac:dyDescent="0.25">
      <c r="B39" s="23" t="s">
        <v>100</v>
      </c>
      <c r="C39" s="23"/>
    </row>
    <row r="40" spans="1:7" x14ac:dyDescent="0.25">
      <c r="B40" s="25" t="s">
        <v>101</v>
      </c>
      <c r="C40" s="23"/>
      <c r="D40" s="23"/>
      <c r="E40" s="23"/>
      <c r="F40" s="23"/>
      <c r="G40" s="23"/>
    </row>
    <row r="41" spans="1:7" x14ac:dyDescent="0.25">
      <c r="B41" s="26"/>
      <c r="C41" s="27" t="s">
        <v>102</v>
      </c>
      <c r="D41" s="28">
        <v>8050</v>
      </c>
      <c r="E41" s="24"/>
      <c r="F41" s="24"/>
      <c r="G41" s="24"/>
    </row>
    <row r="42" spans="1:7" x14ac:dyDescent="0.25">
      <c r="B42" s="23" t="s">
        <v>103</v>
      </c>
      <c r="C42" s="23"/>
      <c r="D42" s="23"/>
      <c r="E42" s="23"/>
      <c r="F42" s="23"/>
    </row>
    <row r="43" spans="1:7" x14ac:dyDescent="0.25">
      <c r="C43" s="29" t="s">
        <v>104</v>
      </c>
      <c r="D43" s="29">
        <f>COUNTIF(D1:D34,"&lt;100")</f>
        <v>11</v>
      </c>
    </row>
  </sheetData>
  <mergeCells count="4">
    <mergeCell ref="B39:C39"/>
    <mergeCell ref="B40:G40"/>
    <mergeCell ref="B42:F42"/>
    <mergeCell ref="E41:G4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SUM,COUNT,AVG</vt:lpstr>
      <vt:lpstr>IF CONDITION</vt:lpstr>
      <vt:lpstr>MIN MAX</vt:lpstr>
      <vt:lpstr>TEXT FORMAT</vt:lpstr>
      <vt:lpstr>SUMIF,COUNTIF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sivapadmini sakthivel</cp:lastModifiedBy>
  <dcterms:created xsi:type="dcterms:W3CDTF">2015-06-05T18:17:20Z</dcterms:created>
  <dcterms:modified xsi:type="dcterms:W3CDTF">2026-04-01T07:32:22Z</dcterms:modified>
</cp:coreProperties>
</file>