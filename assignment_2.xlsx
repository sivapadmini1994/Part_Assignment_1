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Dataset" sheetId="1" r:id="rId1"/>
    <sheet name="remove duplicate" sheetId="2" r:id="rId2"/>
    <sheet name="Handle missing" sheetId="3" r:id="rId3"/>
    <sheet name="Cleaned" sheetId="4" r:id="rId4"/>
  </sheets>
  <calcPr calcId="152511"/>
</workbook>
</file>

<file path=xl/calcChain.xml><?xml version="1.0" encoding="utf-8"?>
<calcChain xmlns="http://schemas.openxmlformats.org/spreadsheetml/2006/main">
  <c r="M32" i="4" l="1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B2" i="4"/>
  <c r="C2" i="4" s="1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</calcChain>
</file>

<file path=xl/sharedStrings.xml><?xml version="1.0" encoding="utf-8"?>
<sst xmlns="http://schemas.openxmlformats.org/spreadsheetml/2006/main" count="543" uniqueCount="119">
  <si>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</si>
  <si>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</si>
  <si>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</si>
  <si>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</si>
  <si>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</si>
  <si>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</si>
  <si>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</si>
  <si>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</si>
  <si>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</si>
  <si>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</si>
  <si>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</si>
  <si>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</si>
  <si>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</si>
  <si>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</si>
  <si>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</si>
  <si>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</si>
  <si>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</si>
  <si>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</si>
  <si>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</si>
  <si>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</si>
  <si>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</si>
  <si>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</si>
  <si>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</si>
  <si>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</si>
  <si>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</si>
  <si>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</si>
  <si>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</si>
  <si>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</si>
  <si>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</si>
  <si>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</si>
  <si>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</si>
  <si>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</si>
  <si>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</si>
  <si>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</si>
  <si>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</si>
  <si>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</si>
  <si>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</si>
  <si>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</si>
  <si>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</si>
  <si>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</si>
  <si>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</si>
  <si>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</si>
  <si>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</si>
  <si>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</si>
  <si>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</si>
  <si>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</si>
  <si>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</si>
  <si>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</si>
  <si>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</si>
  <si>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</si>
  <si>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</si>
  <si>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</si>
  <si>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</si>
  <si>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</si>
  <si>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</si>
  <si>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</si>
  <si>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</si>
  <si>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</si>
  <si>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</si>
  <si>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</si>
  <si>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</si>
  <si>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</si>
  <si>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</si>
  <si>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</si>
  <si>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</si>
  <si>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</si>
  <si>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</si>
  <si>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</si>
  <si>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</si>
  <si>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</si>
  <si>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</si>
  <si>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</si>
  <si>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</si>
  <si>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</si>
  <si>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</si>
  <si>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</si>
  <si>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</si>
  <si>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</si>
  <si>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</si>
  <si>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</si>
  <si>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</si>
  <si>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</si>
  <si>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</si>
  <si>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</si>
  <si>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</si>
  <si>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</si>
  <si>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</si>
  <si>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</si>
  <si>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</si>
  <si>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</si>
  <si>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</si>
  <si>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</si>
  <si>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</si>
  <si>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</si>
  <si>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</si>
  <si>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</si>
  <si>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</si>
  <si>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</t>
  </si>
  <si>
    <t>3 duplicate rows were removed from the dataset</t>
  </si>
  <si>
    <t>Price($)</t>
  </si>
  <si>
    <t>*</t>
  </si>
  <si>
    <t>Category2</t>
  </si>
  <si>
    <t>3 Missing values identified in price($) and category column.</t>
  </si>
  <si>
    <t>Replaced using average in price($) column.</t>
  </si>
  <si>
    <t>The missing values in the category column were filled using the Mode value.COUNTIF was used to find the most frequent category</t>
  </si>
  <si>
    <t>IF function was used to fill the blanks with"Electronics", and thevdata is now clean.</t>
  </si>
  <si>
    <t>Clean Product Name</t>
  </si>
  <si>
    <t>Clean Category Name</t>
  </si>
  <si>
    <t>The PRODUCT NAME and CATEGORY NAME columns containes spelling mistakes so we used FIND and REPLACE to correct misspellings.</t>
  </si>
  <si>
    <t>Manufacturing date</t>
  </si>
  <si>
    <t>Country Code</t>
  </si>
  <si>
    <t>use LEFT and RIGHT functions to split the PRODUCT ID column into 2 separate fields like "MANUFACTURING DATE"</t>
  </si>
  <si>
    <t>and "COUNTRY CODE".</t>
  </si>
  <si>
    <t>Product Brand</t>
  </si>
  <si>
    <t>Formatting Date</t>
  </si>
  <si>
    <t>Manufacturing date was converted into a proper date format.</t>
  </si>
  <si>
    <t>The price column was formatted into CURRENCY FORMAT.</t>
  </si>
  <si>
    <t>The PRODUCT NAME and BRAND NAME were in the separate columns and MERGED the both columns named PRODUCT BRAND.</t>
  </si>
  <si>
    <t>Apllied CONDITIONAL FORMATTING to price and category  to highlited the each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</si>
</sst>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8" xfId="0" applyFont="1" applyFill="1" applyBorder="1" applyAlignment="1">
      <alignment horizontal="right" wrapText="1"/>
    </xf>
    <xf numFmtId="0" fontId="2" fillId="3" borderId="9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1" fillId="0" borderId="0" xfId="0" applyFont="1"/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1" fillId="4" borderId="0" xfId="0" applyFont="1" applyFill="1"/>
    <xf numFmtId="0" fontId="3" fillId="5" borderId="5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 wrapText="1"/>
    </xf>
    <xf numFmtId="164" fontId="3" fillId="2" borderId="5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3">
    <dxf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>
          <bgColor theme="6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F35" totalsRowShown="0" headerRowDxfId="52" headerRowBorderDxfId="51" tableBorderDxfId="50" totalsRowBorderDxfId="49">
  <autoFilter ref="A1:F35"/>
  <tableColumns count="6">
    <tableColumn id="1" name="Product ID" dataDxfId="48"/>
    <tableColumn id="2" name="Product Name" dataDxfId="47"/>
    <tableColumn id="3" name="Brand Name" dataDxfId="46"/>
    <tableColumn id="4" name="Price ($)" dataDxfId="45"/>
    <tableColumn id="5" name="Quantity" dataDxfId="44"/>
    <tableColumn id="6" name="Category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F32" totalsRowShown="0" headerRowDxfId="42" dataDxfId="40" headerRowBorderDxfId="41" tableBorderDxfId="39" totalsRowBorderDxfId="38">
  <autoFilter ref="A1:F32"/>
  <tableColumns count="6">
    <tableColumn id="1" name="Product ID" dataDxfId="37"/>
    <tableColumn id="2" name="Product Name" dataDxfId="36"/>
    <tableColumn id="3" name="Brand Name" dataDxfId="35"/>
    <tableColumn id="4" name="Price ($)" dataDxfId="34"/>
    <tableColumn id="5" name="Quantity" dataDxfId="33"/>
    <tableColumn id="6" name="Category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H32" totalsRowShown="0" headerRowDxfId="31" dataDxfId="29" headerRowBorderDxfId="30" tableBorderDxfId="28" totalsRowBorderDxfId="27">
  <autoFilter ref="A1:H32"/>
  <tableColumns count="8">
    <tableColumn id="1" name="Product ID" dataDxfId="26"/>
    <tableColumn id="2" name="Product Name" dataDxfId="25"/>
    <tableColumn id="3" name="Brand Name" dataDxfId="24"/>
    <tableColumn id="4" name="Price ($)" dataDxfId="23"/>
    <tableColumn id="7" name="Price($)" dataDxfId="22">
      <calculatedColumnFormula>IF(D2="",AVERAGE(D2:D32),D2)</calculatedColumnFormula>
    </tableColumn>
    <tableColumn id="5" name="Quantity" dataDxfId="21"/>
    <tableColumn id="6" name="Category" dataDxfId="20"/>
    <tableColumn id="8" name="Category2" dataDxfId="19">
      <calculatedColumnFormula>IF(G2="","Electronics",G2)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45" displayName="Table1345" ref="A1:M32" totalsRowShown="0" headerRowDxfId="17" dataDxfId="15" headerRowBorderDxfId="16" tableBorderDxfId="14" totalsRowBorderDxfId="13">
  <autoFilter ref="A1:M32"/>
  <tableColumns count="13">
    <tableColumn id="1" name="Product ID" dataDxfId="12"/>
    <tableColumn id="11" name="Manufacturing date" dataDxfId="11">
      <calculatedColumnFormula>LEFT(A2,6)</calculatedColumnFormula>
    </tableColumn>
    <tableColumn id="13" name="Formatting Date" dataDxfId="10">
      <calculatedColumnFormula>B2&amp;"-2024"</calculatedColumnFormula>
    </tableColumn>
    <tableColumn id="10" name="Country Code" dataDxfId="9">
      <calculatedColumnFormula>RIGHT(A2,2)</calculatedColumnFormula>
    </tableColumn>
    <tableColumn id="2" name="Product Name" dataDxfId="8"/>
    <tableColumn id="9" name="Clean Product Name" dataDxfId="7">
      <calculatedColumnFormula>PROPER(TRIM(E2))</calculatedColumnFormula>
    </tableColumn>
    <tableColumn id="3" name="Brand Name" dataDxfId="6"/>
    <tableColumn id="12" name="Product Brand" dataDxfId="5">
      <calculatedColumnFormula>E2&amp;" "&amp;G2</calculatedColumnFormula>
    </tableColumn>
    <tableColumn id="4" name="Price ($)" dataDxfId="4"/>
    <tableColumn id="7" name="Price($)" dataDxfId="3">
      <calculatedColumnFormula>IF(I2="",AVERAGE(I2:I32),I2)</calculatedColumnFormula>
    </tableColumn>
    <tableColumn id="5" name="Quantity" dataDxfId="2"/>
    <tableColumn id="6" name="Category" dataDxfId="1"/>
    <tableColumn id="8" name="Clean Category Name" dataDxfId="0">
      <calculatedColumnFormula>IF(L2="","Electonics",L2)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7" workbookViewId="0">
      <selection activeCell="K13" sqref="K13"/>
    </sheetView>
  </sheetViews>
  <sheetFormatPr defaultRowHeight="15" x14ac:dyDescent="0.25"/>
  <cols>
    <col min="1" max="1" width="17.140625" customWidth="1"/>
    <col min="2" max="2" width="16" customWidth="1"/>
    <col min="3" max="3" width="14.42578125" customWidth="1"/>
    <col min="4" max="4" width="12.7109375" customWidth="1"/>
    <col min="5" max="5" width="12.28515625" customWidth="1"/>
    <col min="6" max="6" width="20.42578125" customWidth="1"/>
  </cols>
  <sheetData>
    <row r="1" spans="1:6" s="16" customFormat="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ht="15.75" thickBot="1" x14ac:dyDescent="0.3">
      <c r="A2" s="5" t="s">
        <v>6</v>
      </c>
      <c r="B2" s="1" t="s">
        <v>7</v>
      </c>
      <c r="C2" s="1" t="s">
        <v>8</v>
      </c>
      <c r="D2" s="2">
        <v>1000</v>
      </c>
      <c r="E2" s="2">
        <v>30</v>
      </c>
      <c r="F2" s="7" t="s">
        <v>9</v>
      </c>
    </row>
    <row r="3" spans="1:6" ht="27" thickBot="1" x14ac:dyDescent="0.3">
      <c r="A3" s="6" t="s">
        <v>10</v>
      </c>
      <c r="B3" s="3" t="s">
        <v>11</v>
      </c>
      <c r="C3" s="3" t="s">
        <v>12</v>
      </c>
      <c r="D3" s="4">
        <v>80</v>
      </c>
      <c r="E3" s="4">
        <v>15</v>
      </c>
      <c r="F3" s="8" t="s">
        <v>13</v>
      </c>
    </row>
    <row r="4" spans="1:6" ht="27" thickBot="1" x14ac:dyDescent="0.3">
      <c r="A4" s="5" t="s">
        <v>14</v>
      </c>
      <c r="B4" s="1" t="s">
        <v>15</v>
      </c>
      <c r="C4" s="1" t="s">
        <v>16</v>
      </c>
      <c r="D4" s="2">
        <v>130</v>
      </c>
      <c r="E4" s="2">
        <v>40</v>
      </c>
      <c r="F4" s="7" t="s">
        <v>17</v>
      </c>
    </row>
    <row r="5" spans="1:6" ht="27" thickBot="1" x14ac:dyDescent="0.3">
      <c r="A5" s="6" t="s">
        <v>18</v>
      </c>
      <c r="B5" s="3" t="s">
        <v>19</v>
      </c>
      <c r="C5" s="3" t="s">
        <v>20</v>
      </c>
      <c r="D5" s="4">
        <v>900</v>
      </c>
      <c r="E5" s="4">
        <v>25</v>
      </c>
      <c r="F5" s="8" t="s">
        <v>9</v>
      </c>
    </row>
    <row r="6" spans="1:6" ht="27" thickBot="1" x14ac:dyDescent="0.3">
      <c r="A6" s="5" t="s">
        <v>21</v>
      </c>
      <c r="B6" s="1" t="s">
        <v>22</v>
      </c>
      <c r="C6" s="1" t="s">
        <v>23</v>
      </c>
      <c r="D6" s="2">
        <v>70</v>
      </c>
      <c r="E6" s="2">
        <v>20</v>
      </c>
      <c r="F6" s="7"/>
    </row>
    <row r="7" spans="1:6" ht="27" thickBot="1" x14ac:dyDescent="0.3">
      <c r="A7" s="6" t="s">
        <v>24</v>
      </c>
      <c r="B7" s="3" t="s">
        <v>25</v>
      </c>
      <c r="C7" s="3" t="s">
        <v>26</v>
      </c>
      <c r="D7" s="3"/>
      <c r="E7" s="4">
        <v>45</v>
      </c>
      <c r="F7" s="8" t="s">
        <v>27</v>
      </c>
    </row>
    <row r="8" spans="1:6" ht="27" thickBot="1" x14ac:dyDescent="0.3">
      <c r="A8" s="5" t="s">
        <v>28</v>
      </c>
      <c r="B8" s="1" t="s">
        <v>29</v>
      </c>
      <c r="C8" s="1" t="s">
        <v>30</v>
      </c>
      <c r="D8" s="2">
        <v>30</v>
      </c>
      <c r="E8" s="2">
        <v>5</v>
      </c>
      <c r="F8" s="7" t="s">
        <v>13</v>
      </c>
    </row>
    <row r="9" spans="1:6" ht="27" thickBot="1" x14ac:dyDescent="0.3">
      <c r="A9" s="6" t="s">
        <v>31</v>
      </c>
      <c r="B9" s="3" t="s">
        <v>32</v>
      </c>
      <c r="C9" s="3" t="s">
        <v>33</v>
      </c>
      <c r="D9" s="4">
        <v>90</v>
      </c>
      <c r="E9" s="4">
        <v>35</v>
      </c>
      <c r="F9" s="8" t="s">
        <v>17</v>
      </c>
    </row>
    <row r="10" spans="1:6" ht="27" thickBot="1" x14ac:dyDescent="0.3">
      <c r="A10" s="5" t="s">
        <v>34</v>
      </c>
      <c r="B10" s="1" t="s">
        <v>35</v>
      </c>
      <c r="C10" s="1" t="s">
        <v>36</v>
      </c>
      <c r="D10" s="2">
        <v>500</v>
      </c>
      <c r="E10" s="2">
        <v>50</v>
      </c>
      <c r="F10" s="7" t="s">
        <v>9</v>
      </c>
    </row>
    <row r="11" spans="1:6" ht="27" thickBot="1" x14ac:dyDescent="0.3">
      <c r="A11" s="6" t="s">
        <v>37</v>
      </c>
      <c r="B11" s="3" t="s">
        <v>38</v>
      </c>
      <c r="C11" s="3" t="s">
        <v>39</v>
      </c>
      <c r="D11" s="4">
        <v>130</v>
      </c>
      <c r="E11" s="4">
        <v>10</v>
      </c>
      <c r="F11" s="8" t="s">
        <v>40</v>
      </c>
    </row>
    <row r="12" spans="1:6" ht="27" thickBot="1" x14ac:dyDescent="0.3">
      <c r="A12" s="5" t="s">
        <v>41</v>
      </c>
      <c r="B12" s="1" t="s">
        <v>42</v>
      </c>
      <c r="C12" s="1" t="s">
        <v>43</v>
      </c>
      <c r="D12" s="2">
        <v>950</v>
      </c>
      <c r="E12" s="2">
        <v>25</v>
      </c>
      <c r="F12" s="7" t="s">
        <v>9</v>
      </c>
    </row>
    <row r="13" spans="1:6" ht="27" thickBot="1" x14ac:dyDescent="0.3">
      <c r="A13" s="6" t="s">
        <v>44</v>
      </c>
      <c r="B13" s="3" t="s">
        <v>11</v>
      </c>
      <c r="C13" s="3" t="s">
        <v>30</v>
      </c>
      <c r="D13" s="4">
        <v>90</v>
      </c>
      <c r="E13" s="4">
        <v>40</v>
      </c>
      <c r="F13" s="8"/>
    </row>
    <row r="14" spans="1:6" ht="27" thickBot="1" x14ac:dyDescent="0.3">
      <c r="A14" s="5" t="s">
        <v>45</v>
      </c>
      <c r="B14" s="1" t="s">
        <v>15</v>
      </c>
      <c r="C14" s="1" t="s">
        <v>46</v>
      </c>
      <c r="D14" s="2">
        <v>120</v>
      </c>
      <c r="E14" s="2">
        <v>35</v>
      </c>
      <c r="F14" s="7"/>
    </row>
    <row r="15" spans="1:6" ht="15.75" thickBot="1" x14ac:dyDescent="0.3">
      <c r="A15" s="6" t="s">
        <v>47</v>
      </c>
      <c r="B15" s="3" t="s">
        <v>48</v>
      </c>
      <c r="C15" s="3" t="s">
        <v>49</v>
      </c>
      <c r="D15" s="4">
        <v>150</v>
      </c>
      <c r="E15" s="4">
        <v>15</v>
      </c>
      <c r="F15" s="8" t="s">
        <v>27</v>
      </c>
    </row>
    <row r="16" spans="1:6" ht="15.75" thickBot="1" x14ac:dyDescent="0.3">
      <c r="A16" s="5" t="s">
        <v>50</v>
      </c>
      <c r="B16" s="1" t="s">
        <v>51</v>
      </c>
      <c r="C16" s="1" t="s">
        <v>52</v>
      </c>
      <c r="D16" s="2">
        <v>250</v>
      </c>
      <c r="E16" s="2">
        <v>20</v>
      </c>
      <c r="F16" s="7" t="s">
        <v>27</v>
      </c>
    </row>
    <row r="17" spans="1:6" ht="15.75" thickBot="1" x14ac:dyDescent="0.3">
      <c r="A17" s="6" t="s">
        <v>53</v>
      </c>
      <c r="B17" s="3" t="s">
        <v>54</v>
      </c>
      <c r="C17" s="3" t="s">
        <v>55</v>
      </c>
      <c r="D17" s="4">
        <v>50</v>
      </c>
      <c r="E17" s="4">
        <v>35</v>
      </c>
      <c r="F17" s="8" t="s">
        <v>56</v>
      </c>
    </row>
    <row r="18" spans="1:6" ht="15.75" thickBot="1" x14ac:dyDescent="0.3">
      <c r="A18" s="5" t="s">
        <v>57</v>
      </c>
      <c r="B18" s="1" t="s">
        <v>48</v>
      </c>
      <c r="C18" s="1" t="s">
        <v>58</v>
      </c>
      <c r="D18" s="2">
        <v>160</v>
      </c>
      <c r="E18" s="2">
        <v>15</v>
      </c>
      <c r="F18" s="7" t="s">
        <v>27</v>
      </c>
    </row>
    <row r="19" spans="1:6" ht="15.75" thickBot="1" x14ac:dyDescent="0.3">
      <c r="A19" s="6" t="s">
        <v>59</v>
      </c>
      <c r="B19" s="3" t="s">
        <v>7</v>
      </c>
      <c r="C19" s="3" t="s">
        <v>60</v>
      </c>
      <c r="D19" s="4">
        <v>980</v>
      </c>
      <c r="E19" s="4">
        <v>10</v>
      </c>
      <c r="F19" s="8" t="s">
        <v>9</v>
      </c>
    </row>
    <row r="20" spans="1:6" ht="15.75" thickBot="1" x14ac:dyDescent="0.3">
      <c r="A20" s="5" t="s">
        <v>61</v>
      </c>
      <c r="B20" s="1" t="s">
        <v>62</v>
      </c>
      <c r="C20" s="1" t="s">
        <v>63</v>
      </c>
      <c r="D20" s="2">
        <v>150</v>
      </c>
      <c r="E20" s="2">
        <v>15</v>
      </c>
      <c r="F20" s="7" t="s">
        <v>13</v>
      </c>
    </row>
    <row r="21" spans="1:6" ht="15.75" thickBot="1" x14ac:dyDescent="0.3">
      <c r="A21" s="6" t="s">
        <v>64</v>
      </c>
      <c r="B21" s="3" t="s">
        <v>65</v>
      </c>
      <c r="C21" s="3" t="s">
        <v>66</v>
      </c>
      <c r="D21" s="3"/>
      <c r="E21" s="4">
        <v>10</v>
      </c>
      <c r="F21" s="8" t="s">
        <v>40</v>
      </c>
    </row>
    <row r="22" spans="1:6" ht="15.75" thickBot="1" x14ac:dyDescent="0.3">
      <c r="A22" s="5" t="s">
        <v>67</v>
      </c>
      <c r="B22" s="1" t="s">
        <v>68</v>
      </c>
      <c r="C22" s="1" t="s">
        <v>69</v>
      </c>
      <c r="D22" s="2">
        <v>700</v>
      </c>
      <c r="E22" s="2">
        <v>50</v>
      </c>
      <c r="F22" s="7" t="s">
        <v>9</v>
      </c>
    </row>
    <row r="23" spans="1:6" ht="15.75" thickBot="1" x14ac:dyDescent="0.3">
      <c r="A23" s="6" t="s">
        <v>70</v>
      </c>
      <c r="B23" s="3" t="s">
        <v>71</v>
      </c>
      <c r="C23" s="3" t="s">
        <v>72</v>
      </c>
      <c r="D23" s="4">
        <v>80</v>
      </c>
      <c r="E23" s="4">
        <v>20</v>
      </c>
      <c r="F23" s="8" t="s">
        <v>17</v>
      </c>
    </row>
    <row r="24" spans="1:6" ht="15.75" thickBot="1" x14ac:dyDescent="0.3">
      <c r="A24" s="5" t="s">
        <v>73</v>
      </c>
      <c r="B24" s="1" t="s">
        <v>74</v>
      </c>
      <c r="C24" s="1" t="s">
        <v>75</v>
      </c>
      <c r="D24" s="2">
        <v>150</v>
      </c>
      <c r="E24" s="2">
        <v>30</v>
      </c>
      <c r="F24" s="7"/>
    </row>
    <row r="25" spans="1:6" ht="15.75" thickBot="1" x14ac:dyDescent="0.3">
      <c r="A25" s="6" t="s">
        <v>53</v>
      </c>
      <c r="B25" s="3" t="s">
        <v>54</v>
      </c>
      <c r="C25" s="3" t="s">
        <v>55</v>
      </c>
      <c r="D25" s="4">
        <v>50</v>
      </c>
      <c r="E25" s="4">
        <v>35</v>
      </c>
      <c r="F25" s="8" t="s">
        <v>56</v>
      </c>
    </row>
    <row r="26" spans="1:6" ht="15.75" thickBot="1" x14ac:dyDescent="0.3">
      <c r="A26" s="5" t="s">
        <v>76</v>
      </c>
      <c r="B26" s="1" t="s">
        <v>77</v>
      </c>
      <c r="C26" s="1" t="s">
        <v>78</v>
      </c>
      <c r="D26" s="2">
        <v>800</v>
      </c>
      <c r="E26" s="2">
        <v>45</v>
      </c>
      <c r="F26" s="7" t="s">
        <v>9</v>
      </c>
    </row>
    <row r="27" spans="1:6" ht="15.75" thickBot="1" x14ac:dyDescent="0.3">
      <c r="A27" s="6" t="s">
        <v>79</v>
      </c>
      <c r="B27" s="3" t="s">
        <v>62</v>
      </c>
      <c r="C27" s="3" t="s">
        <v>80</v>
      </c>
      <c r="D27" s="3"/>
      <c r="E27" s="4">
        <v>25</v>
      </c>
      <c r="F27" s="8" t="s">
        <v>13</v>
      </c>
    </row>
    <row r="28" spans="1:6" ht="15.75" thickBot="1" x14ac:dyDescent="0.3">
      <c r="A28" s="5" t="s">
        <v>81</v>
      </c>
      <c r="B28" s="1" t="s">
        <v>32</v>
      </c>
      <c r="C28" s="1" t="s">
        <v>82</v>
      </c>
      <c r="D28" s="2">
        <v>400</v>
      </c>
      <c r="E28" s="2">
        <v>40</v>
      </c>
      <c r="F28" s="7" t="s">
        <v>17</v>
      </c>
    </row>
    <row r="29" spans="1:6" ht="15.75" thickBot="1" x14ac:dyDescent="0.3">
      <c r="A29" s="6" t="s">
        <v>50</v>
      </c>
      <c r="B29" s="3" t="s">
        <v>51</v>
      </c>
      <c r="C29" s="3" t="s">
        <v>52</v>
      </c>
      <c r="D29" s="4">
        <v>250</v>
      </c>
      <c r="E29" s="4">
        <v>20</v>
      </c>
      <c r="F29" s="8" t="s">
        <v>27</v>
      </c>
    </row>
    <row r="30" spans="1:6" ht="15.75" thickBot="1" x14ac:dyDescent="0.3">
      <c r="A30" s="5" t="s">
        <v>83</v>
      </c>
      <c r="B30" s="1" t="s">
        <v>84</v>
      </c>
      <c r="C30" s="1" t="s">
        <v>85</v>
      </c>
      <c r="D30" s="2">
        <v>60</v>
      </c>
      <c r="E30" s="2">
        <v>30</v>
      </c>
      <c r="F30" s="7" t="s">
        <v>13</v>
      </c>
    </row>
    <row r="31" spans="1:6" ht="15.75" thickBot="1" x14ac:dyDescent="0.3">
      <c r="A31" s="6" t="s">
        <v>86</v>
      </c>
      <c r="B31" s="3" t="s">
        <v>87</v>
      </c>
      <c r="C31" s="3" t="s">
        <v>88</v>
      </c>
      <c r="D31" s="4">
        <v>40</v>
      </c>
      <c r="E31" s="4">
        <v>10</v>
      </c>
      <c r="F31" s="8" t="s">
        <v>17</v>
      </c>
    </row>
    <row r="32" spans="1:6" ht="15.75" thickBot="1" x14ac:dyDescent="0.3">
      <c r="A32" s="5" t="s">
        <v>89</v>
      </c>
      <c r="B32" s="1" t="s">
        <v>74</v>
      </c>
      <c r="C32" s="1" t="s">
        <v>90</v>
      </c>
      <c r="D32" s="2">
        <v>130</v>
      </c>
      <c r="E32" s="2">
        <v>5</v>
      </c>
      <c r="F32" s="7" t="s">
        <v>9</v>
      </c>
    </row>
    <row r="33" spans="1:6" ht="15.75" thickBot="1" x14ac:dyDescent="0.3">
      <c r="A33" s="6" t="s">
        <v>91</v>
      </c>
      <c r="B33" s="3" t="s">
        <v>92</v>
      </c>
      <c r="C33" s="3" t="s">
        <v>93</v>
      </c>
      <c r="D33" s="4">
        <v>50</v>
      </c>
      <c r="E33" s="4">
        <v>50</v>
      </c>
      <c r="F33" s="8" t="s">
        <v>13</v>
      </c>
    </row>
    <row r="34" spans="1:6" ht="15.75" thickBot="1" x14ac:dyDescent="0.3">
      <c r="A34" s="5" t="s">
        <v>41</v>
      </c>
      <c r="B34" s="1" t="s">
        <v>42</v>
      </c>
      <c r="C34" s="1" t="s">
        <v>43</v>
      </c>
      <c r="D34" s="2">
        <v>950</v>
      </c>
      <c r="E34" s="2">
        <v>25</v>
      </c>
      <c r="F34" s="7" t="s">
        <v>9</v>
      </c>
    </row>
    <row r="35" spans="1:6" x14ac:dyDescent="0.25">
      <c r="A35" s="9" t="s">
        <v>94</v>
      </c>
      <c r="B35" s="10" t="s">
        <v>95</v>
      </c>
      <c r="C35" s="10" t="s">
        <v>96</v>
      </c>
      <c r="D35" s="11">
        <v>100</v>
      </c>
      <c r="E35" s="11">
        <v>20</v>
      </c>
      <c r="F35" s="12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A32"/>
    </sheetView>
  </sheetViews>
  <sheetFormatPr defaultRowHeight="15" x14ac:dyDescent="0.25"/>
  <cols>
    <col min="1" max="1" width="16.42578125" customWidth="1"/>
    <col min="2" max="2" width="17" customWidth="1"/>
    <col min="3" max="3" width="16.7109375" customWidth="1"/>
    <col min="4" max="4" width="13.42578125" customWidth="1"/>
    <col min="5" max="5" width="15.140625" customWidth="1"/>
    <col min="6" max="6" width="21.28515625" customWidth="1"/>
  </cols>
  <sheetData>
    <row r="1" spans="1:6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ht="15.75" thickBot="1" x14ac:dyDescent="0.3">
      <c r="A2" s="17" t="s">
        <v>6</v>
      </c>
      <c r="B2" s="18" t="s">
        <v>7</v>
      </c>
      <c r="C2" s="18" t="s">
        <v>8</v>
      </c>
      <c r="D2" s="18">
        <v>1000</v>
      </c>
      <c r="E2" s="18">
        <v>30</v>
      </c>
      <c r="F2" s="19" t="s">
        <v>9</v>
      </c>
    </row>
    <row r="3" spans="1:6" ht="15.75" thickBot="1" x14ac:dyDescent="0.3">
      <c r="A3" s="20" t="s">
        <v>10</v>
      </c>
      <c r="B3" s="21" t="s">
        <v>11</v>
      </c>
      <c r="C3" s="21" t="s">
        <v>12</v>
      </c>
      <c r="D3" s="21">
        <v>80</v>
      </c>
      <c r="E3" s="21">
        <v>15</v>
      </c>
      <c r="F3" s="22" t="s">
        <v>13</v>
      </c>
    </row>
    <row r="4" spans="1:6" ht="15.75" thickBot="1" x14ac:dyDescent="0.3">
      <c r="A4" s="17" t="s">
        <v>14</v>
      </c>
      <c r="B4" s="18" t="s">
        <v>15</v>
      </c>
      <c r="C4" s="18" t="s">
        <v>16</v>
      </c>
      <c r="D4" s="18">
        <v>130</v>
      </c>
      <c r="E4" s="18">
        <v>40</v>
      </c>
      <c r="F4" s="19" t="s">
        <v>17</v>
      </c>
    </row>
    <row r="5" spans="1:6" ht="15.75" thickBot="1" x14ac:dyDescent="0.3">
      <c r="A5" s="20" t="s">
        <v>18</v>
      </c>
      <c r="B5" s="21" t="s">
        <v>19</v>
      </c>
      <c r="C5" s="21" t="s">
        <v>20</v>
      </c>
      <c r="D5" s="21">
        <v>900</v>
      </c>
      <c r="E5" s="21">
        <v>25</v>
      </c>
      <c r="F5" s="22" t="s">
        <v>9</v>
      </c>
    </row>
    <row r="6" spans="1:6" ht="15.75" thickBot="1" x14ac:dyDescent="0.3">
      <c r="A6" s="17" t="s">
        <v>21</v>
      </c>
      <c r="B6" s="18" t="s">
        <v>22</v>
      </c>
      <c r="C6" s="18" t="s">
        <v>23</v>
      </c>
      <c r="D6" s="18">
        <v>70</v>
      </c>
      <c r="E6" s="18">
        <v>20</v>
      </c>
      <c r="F6" s="19"/>
    </row>
    <row r="7" spans="1:6" ht="15.75" thickBot="1" x14ac:dyDescent="0.3">
      <c r="A7" s="20" t="s">
        <v>24</v>
      </c>
      <c r="B7" s="21" t="s">
        <v>25</v>
      </c>
      <c r="C7" s="21" t="s">
        <v>26</v>
      </c>
      <c r="D7" s="21"/>
      <c r="E7" s="21">
        <v>45</v>
      </c>
      <c r="F7" s="22" t="s">
        <v>27</v>
      </c>
    </row>
    <row r="8" spans="1:6" ht="15.75" thickBot="1" x14ac:dyDescent="0.3">
      <c r="A8" s="17" t="s">
        <v>28</v>
      </c>
      <c r="B8" s="18" t="s">
        <v>29</v>
      </c>
      <c r="C8" s="18" t="s">
        <v>30</v>
      </c>
      <c r="D8" s="18">
        <v>30</v>
      </c>
      <c r="E8" s="18">
        <v>5</v>
      </c>
      <c r="F8" s="19" t="s">
        <v>13</v>
      </c>
    </row>
    <row r="9" spans="1:6" ht="15.75" thickBot="1" x14ac:dyDescent="0.3">
      <c r="A9" s="20" t="s">
        <v>31</v>
      </c>
      <c r="B9" s="21" t="s">
        <v>32</v>
      </c>
      <c r="C9" s="21" t="s">
        <v>33</v>
      </c>
      <c r="D9" s="21">
        <v>90</v>
      </c>
      <c r="E9" s="21">
        <v>35</v>
      </c>
      <c r="F9" s="22" t="s">
        <v>17</v>
      </c>
    </row>
    <row r="10" spans="1:6" ht="15.75" thickBot="1" x14ac:dyDescent="0.3">
      <c r="A10" s="17" t="s">
        <v>34</v>
      </c>
      <c r="B10" s="18" t="s">
        <v>35</v>
      </c>
      <c r="C10" s="18" t="s">
        <v>36</v>
      </c>
      <c r="D10" s="18">
        <v>500</v>
      </c>
      <c r="E10" s="18">
        <v>50</v>
      </c>
      <c r="F10" s="19" t="s">
        <v>9</v>
      </c>
    </row>
    <row r="11" spans="1:6" ht="15.75" thickBot="1" x14ac:dyDescent="0.3">
      <c r="A11" s="20" t="s">
        <v>37</v>
      </c>
      <c r="B11" s="21" t="s">
        <v>38</v>
      </c>
      <c r="C11" s="21" t="s">
        <v>39</v>
      </c>
      <c r="D11" s="21">
        <v>130</v>
      </c>
      <c r="E11" s="21">
        <v>10</v>
      </c>
      <c r="F11" s="22" t="s">
        <v>40</v>
      </c>
    </row>
    <row r="12" spans="1:6" ht="15.75" thickBot="1" x14ac:dyDescent="0.3">
      <c r="A12" s="17" t="s">
        <v>41</v>
      </c>
      <c r="B12" s="18" t="s">
        <v>42</v>
      </c>
      <c r="C12" s="18" t="s">
        <v>43</v>
      </c>
      <c r="D12" s="18">
        <v>950</v>
      </c>
      <c r="E12" s="18">
        <v>25</v>
      </c>
      <c r="F12" s="19" t="s">
        <v>9</v>
      </c>
    </row>
    <row r="13" spans="1:6" ht="15.75" thickBot="1" x14ac:dyDescent="0.3">
      <c r="A13" s="20" t="s">
        <v>44</v>
      </c>
      <c r="B13" s="21" t="s">
        <v>11</v>
      </c>
      <c r="C13" s="21" t="s">
        <v>30</v>
      </c>
      <c r="D13" s="21">
        <v>90</v>
      </c>
      <c r="E13" s="21">
        <v>40</v>
      </c>
      <c r="F13" s="22"/>
    </row>
    <row r="14" spans="1:6" ht="15.75" thickBot="1" x14ac:dyDescent="0.3">
      <c r="A14" s="17" t="s">
        <v>45</v>
      </c>
      <c r="B14" s="18" t="s">
        <v>15</v>
      </c>
      <c r="C14" s="18" t="s">
        <v>46</v>
      </c>
      <c r="D14" s="18">
        <v>120</v>
      </c>
      <c r="E14" s="18">
        <v>35</v>
      </c>
      <c r="F14" s="19"/>
    </row>
    <row r="15" spans="1:6" ht="15.75" thickBot="1" x14ac:dyDescent="0.3">
      <c r="A15" s="20" t="s">
        <v>47</v>
      </c>
      <c r="B15" s="21" t="s">
        <v>48</v>
      </c>
      <c r="C15" s="21" t="s">
        <v>49</v>
      </c>
      <c r="D15" s="21">
        <v>150</v>
      </c>
      <c r="E15" s="21">
        <v>15</v>
      </c>
      <c r="F15" s="22" t="s">
        <v>27</v>
      </c>
    </row>
    <row r="16" spans="1:6" ht="15.75" thickBot="1" x14ac:dyDescent="0.3">
      <c r="A16" s="17" t="s">
        <v>50</v>
      </c>
      <c r="B16" s="18" t="s">
        <v>51</v>
      </c>
      <c r="C16" s="18" t="s">
        <v>52</v>
      </c>
      <c r="D16" s="18">
        <v>250</v>
      </c>
      <c r="E16" s="18">
        <v>20</v>
      </c>
      <c r="F16" s="19" t="s">
        <v>27</v>
      </c>
    </row>
    <row r="17" spans="1:6" ht="15.75" thickBot="1" x14ac:dyDescent="0.3">
      <c r="A17" s="20" t="s">
        <v>53</v>
      </c>
      <c r="B17" s="21" t="s">
        <v>54</v>
      </c>
      <c r="C17" s="21" t="s">
        <v>55</v>
      </c>
      <c r="D17" s="21">
        <v>50</v>
      </c>
      <c r="E17" s="21">
        <v>35</v>
      </c>
      <c r="F17" s="22" t="s">
        <v>56</v>
      </c>
    </row>
    <row r="18" spans="1:6" ht="15.75" thickBot="1" x14ac:dyDescent="0.3">
      <c r="A18" s="17" t="s">
        <v>57</v>
      </c>
      <c r="B18" s="18" t="s">
        <v>48</v>
      </c>
      <c r="C18" s="18" t="s">
        <v>58</v>
      </c>
      <c r="D18" s="18">
        <v>160</v>
      </c>
      <c r="E18" s="18">
        <v>15</v>
      </c>
      <c r="F18" s="19" t="s">
        <v>27</v>
      </c>
    </row>
    <row r="19" spans="1:6" ht="15.75" thickBot="1" x14ac:dyDescent="0.3">
      <c r="A19" s="20" t="s">
        <v>59</v>
      </c>
      <c r="B19" s="21" t="s">
        <v>7</v>
      </c>
      <c r="C19" s="21" t="s">
        <v>60</v>
      </c>
      <c r="D19" s="21">
        <v>980</v>
      </c>
      <c r="E19" s="21">
        <v>10</v>
      </c>
      <c r="F19" s="22" t="s">
        <v>9</v>
      </c>
    </row>
    <row r="20" spans="1:6" ht="15.75" thickBot="1" x14ac:dyDescent="0.3">
      <c r="A20" s="17" t="s">
        <v>61</v>
      </c>
      <c r="B20" s="18" t="s">
        <v>62</v>
      </c>
      <c r="C20" s="18" t="s">
        <v>63</v>
      </c>
      <c r="D20" s="18">
        <v>150</v>
      </c>
      <c r="E20" s="18">
        <v>15</v>
      </c>
      <c r="F20" s="19" t="s">
        <v>13</v>
      </c>
    </row>
    <row r="21" spans="1:6" ht="15.75" thickBot="1" x14ac:dyDescent="0.3">
      <c r="A21" s="20" t="s">
        <v>64</v>
      </c>
      <c r="B21" s="21" t="s">
        <v>65</v>
      </c>
      <c r="C21" s="21" t="s">
        <v>66</v>
      </c>
      <c r="D21" s="21"/>
      <c r="E21" s="21">
        <v>10</v>
      </c>
      <c r="F21" s="22" t="s">
        <v>40</v>
      </c>
    </row>
    <row r="22" spans="1:6" ht="15.75" thickBot="1" x14ac:dyDescent="0.3">
      <c r="A22" s="17" t="s">
        <v>67</v>
      </c>
      <c r="B22" s="18" t="s">
        <v>68</v>
      </c>
      <c r="C22" s="18" t="s">
        <v>69</v>
      </c>
      <c r="D22" s="18">
        <v>700</v>
      </c>
      <c r="E22" s="18">
        <v>50</v>
      </c>
      <c r="F22" s="19" t="s">
        <v>9</v>
      </c>
    </row>
    <row r="23" spans="1:6" ht="15.75" thickBot="1" x14ac:dyDescent="0.3">
      <c r="A23" s="20" t="s">
        <v>70</v>
      </c>
      <c r="B23" s="21" t="s">
        <v>71</v>
      </c>
      <c r="C23" s="21" t="s">
        <v>72</v>
      </c>
      <c r="D23" s="21">
        <v>80</v>
      </c>
      <c r="E23" s="21">
        <v>20</v>
      </c>
      <c r="F23" s="22" t="s">
        <v>17</v>
      </c>
    </row>
    <row r="24" spans="1:6" ht="15.75" thickBot="1" x14ac:dyDescent="0.3">
      <c r="A24" s="17" t="s">
        <v>73</v>
      </c>
      <c r="B24" s="18" t="s">
        <v>74</v>
      </c>
      <c r="C24" s="18" t="s">
        <v>75</v>
      </c>
      <c r="D24" s="18">
        <v>150</v>
      </c>
      <c r="E24" s="18">
        <v>30</v>
      </c>
      <c r="F24" s="19"/>
    </row>
    <row r="25" spans="1:6" ht="15.75" thickBot="1" x14ac:dyDescent="0.3">
      <c r="A25" s="17" t="s">
        <v>76</v>
      </c>
      <c r="B25" s="18" t="s">
        <v>77</v>
      </c>
      <c r="C25" s="18" t="s">
        <v>78</v>
      </c>
      <c r="D25" s="18">
        <v>800</v>
      </c>
      <c r="E25" s="18">
        <v>45</v>
      </c>
      <c r="F25" s="19" t="s">
        <v>9</v>
      </c>
    </row>
    <row r="26" spans="1:6" ht="15.75" thickBot="1" x14ac:dyDescent="0.3">
      <c r="A26" s="20" t="s">
        <v>79</v>
      </c>
      <c r="B26" s="21" t="s">
        <v>62</v>
      </c>
      <c r="C26" s="21" t="s">
        <v>80</v>
      </c>
      <c r="D26" s="21"/>
      <c r="E26" s="21">
        <v>25</v>
      </c>
      <c r="F26" s="22" t="s">
        <v>13</v>
      </c>
    </row>
    <row r="27" spans="1:6" ht="15.75" thickBot="1" x14ac:dyDescent="0.3">
      <c r="A27" s="17" t="s">
        <v>81</v>
      </c>
      <c r="B27" s="18" t="s">
        <v>32</v>
      </c>
      <c r="C27" s="18" t="s">
        <v>82</v>
      </c>
      <c r="D27" s="18">
        <v>400</v>
      </c>
      <c r="E27" s="18">
        <v>40</v>
      </c>
      <c r="F27" s="19" t="s">
        <v>17</v>
      </c>
    </row>
    <row r="28" spans="1:6" ht="15.75" thickBot="1" x14ac:dyDescent="0.3">
      <c r="A28" s="17" t="s">
        <v>83</v>
      </c>
      <c r="B28" s="18" t="s">
        <v>84</v>
      </c>
      <c r="C28" s="18" t="s">
        <v>85</v>
      </c>
      <c r="D28" s="18">
        <v>60</v>
      </c>
      <c r="E28" s="18">
        <v>30</v>
      </c>
      <c r="F28" s="19" t="s">
        <v>13</v>
      </c>
    </row>
    <row r="29" spans="1:6" ht="15.75" thickBot="1" x14ac:dyDescent="0.3">
      <c r="A29" s="20" t="s">
        <v>86</v>
      </c>
      <c r="B29" s="21" t="s">
        <v>87</v>
      </c>
      <c r="C29" s="21" t="s">
        <v>88</v>
      </c>
      <c r="D29" s="21">
        <v>40</v>
      </c>
      <c r="E29" s="21">
        <v>10</v>
      </c>
      <c r="F29" s="22" t="s">
        <v>17</v>
      </c>
    </row>
    <row r="30" spans="1:6" ht="15.75" thickBot="1" x14ac:dyDescent="0.3">
      <c r="A30" s="17" t="s">
        <v>89</v>
      </c>
      <c r="B30" s="18" t="s">
        <v>74</v>
      </c>
      <c r="C30" s="18" t="s">
        <v>90</v>
      </c>
      <c r="D30" s="18">
        <v>130</v>
      </c>
      <c r="E30" s="18">
        <v>5</v>
      </c>
      <c r="F30" s="19" t="s">
        <v>9</v>
      </c>
    </row>
    <row r="31" spans="1:6" ht="15.75" thickBot="1" x14ac:dyDescent="0.3">
      <c r="A31" s="20" t="s">
        <v>91</v>
      </c>
      <c r="B31" s="21" t="s">
        <v>92</v>
      </c>
      <c r="C31" s="21" t="s">
        <v>93</v>
      </c>
      <c r="D31" s="21">
        <v>50</v>
      </c>
      <c r="E31" s="21">
        <v>50</v>
      </c>
      <c r="F31" s="22" t="s">
        <v>13</v>
      </c>
    </row>
    <row r="32" spans="1:6" ht="15.75" thickBot="1" x14ac:dyDescent="0.3">
      <c r="A32" s="20" t="s">
        <v>94</v>
      </c>
      <c r="B32" s="21" t="s">
        <v>95</v>
      </c>
      <c r="C32" s="21" t="s">
        <v>96</v>
      </c>
      <c r="D32" s="21">
        <v>100</v>
      </c>
      <c r="E32" s="21">
        <v>20</v>
      </c>
      <c r="F32" s="22" t="s">
        <v>56</v>
      </c>
    </row>
    <row r="34" spans="2:4" x14ac:dyDescent="0.25">
      <c r="B34" s="24" t="s">
        <v>97</v>
      </c>
    </row>
    <row r="35" spans="2:4" x14ac:dyDescent="0.25">
      <c r="B35" s="24" t="s">
        <v>98</v>
      </c>
      <c r="C35" s="24"/>
      <c r="D35" s="2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10" workbookViewId="0">
      <selection activeCell="D39" sqref="D39"/>
    </sheetView>
  </sheetViews>
  <sheetFormatPr defaultRowHeight="15" x14ac:dyDescent="0.25"/>
  <cols>
    <col min="1" max="2" width="15.85546875" customWidth="1"/>
    <col min="3" max="3" width="11.5703125" customWidth="1"/>
    <col min="4" max="5" width="12.42578125" customWidth="1"/>
    <col min="6" max="6" width="12" customWidth="1"/>
    <col min="7" max="7" width="12.7109375" customWidth="1"/>
    <col min="8" max="8" width="15.42578125" customWidth="1"/>
  </cols>
  <sheetData>
    <row r="1" spans="1:8" ht="27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99</v>
      </c>
      <c r="F1" s="14" t="s">
        <v>4</v>
      </c>
      <c r="G1" s="15" t="s">
        <v>5</v>
      </c>
      <c r="H1" s="14" t="s">
        <v>101</v>
      </c>
    </row>
    <row r="2" spans="1:8" ht="15.75" thickBot="1" x14ac:dyDescent="0.3">
      <c r="A2" s="17" t="s">
        <v>6</v>
      </c>
      <c r="B2" s="18" t="s">
        <v>7</v>
      </c>
      <c r="C2" s="18" t="s">
        <v>8</v>
      </c>
      <c r="D2" s="18">
        <v>1000</v>
      </c>
      <c r="E2" s="18">
        <f t="shared" ref="E2:E4" si="0">IF(D2="",AVERAGE(D2:D32),D2)</f>
        <v>1000</v>
      </c>
      <c r="F2" s="18">
        <v>30</v>
      </c>
      <c r="G2" s="19" t="s">
        <v>9</v>
      </c>
      <c r="H2" s="30" t="str">
        <f t="shared" ref="H2:H32" si="1">IF(G2="","Electronics",G2)</f>
        <v>Electronics</v>
      </c>
    </row>
    <row r="3" spans="1:8" ht="15.75" thickBot="1" x14ac:dyDescent="0.3">
      <c r="A3" s="20" t="s">
        <v>10</v>
      </c>
      <c r="B3" s="21" t="s">
        <v>11</v>
      </c>
      <c r="C3" s="21" t="s">
        <v>12</v>
      </c>
      <c r="D3" s="21">
        <v>80</v>
      </c>
      <c r="E3" s="21">
        <f t="shared" si="0"/>
        <v>80</v>
      </c>
      <c r="F3" s="21">
        <v>15</v>
      </c>
      <c r="G3" s="22" t="s">
        <v>13</v>
      </c>
      <c r="H3" s="21" t="str">
        <f t="shared" si="1"/>
        <v>Fashion</v>
      </c>
    </row>
    <row r="4" spans="1:8" ht="15.75" thickBot="1" x14ac:dyDescent="0.3">
      <c r="A4" s="17" t="s">
        <v>14</v>
      </c>
      <c r="B4" s="18" t="s">
        <v>15</v>
      </c>
      <c r="C4" s="18" t="s">
        <v>16</v>
      </c>
      <c r="D4" s="18">
        <v>130</v>
      </c>
      <c r="E4" s="18">
        <f t="shared" si="0"/>
        <v>130</v>
      </c>
      <c r="F4" s="18">
        <v>40</v>
      </c>
      <c r="G4" s="19" t="s">
        <v>17</v>
      </c>
      <c r="H4" s="21" t="str">
        <f t="shared" si="1"/>
        <v>Kitchen</v>
      </c>
    </row>
    <row r="5" spans="1:8" ht="15.75" thickBot="1" x14ac:dyDescent="0.3">
      <c r="A5" s="20" t="s">
        <v>18</v>
      </c>
      <c r="B5" s="21" t="s">
        <v>19</v>
      </c>
      <c r="C5" s="21" t="s">
        <v>20</v>
      </c>
      <c r="D5" s="21">
        <v>900</v>
      </c>
      <c r="E5" s="21">
        <f t="shared" ref="E5:E32" si="2">IF(D5="",AVERAGE(D5:D36),D5)</f>
        <v>900</v>
      </c>
      <c r="F5" s="21">
        <v>25</v>
      </c>
      <c r="G5" s="22" t="s">
        <v>9</v>
      </c>
      <c r="H5" s="21" t="str">
        <f t="shared" si="1"/>
        <v>Electronics</v>
      </c>
    </row>
    <row r="6" spans="1:8" ht="15.75" thickBot="1" x14ac:dyDescent="0.3">
      <c r="A6" s="17" t="s">
        <v>21</v>
      </c>
      <c r="B6" s="18" t="s">
        <v>22</v>
      </c>
      <c r="C6" s="18" t="s">
        <v>23</v>
      </c>
      <c r="D6" s="18">
        <v>70</v>
      </c>
      <c r="E6" s="18">
        <f t="shared" si="2"/>
        <v>70</v>
      </c>
      <c r="F6" s="18">
        <v>20</v>
      </c>
      <c r="G6" s="19"/>
      <c r="H6" s="21" t="str">
        <f t="shared" si="1"/>
        <v>Electronics</v>
      </c>
    </row>
    <row r="7" spans="1:8" ht="15.75" thickBot="1" x14ac:dyDescent="0.3">
      <c r="A7" s="20" t="s">
        <v>24</v>
      </c>
      <c r="B7" s="21" t="s">
        <v>25</v>
      </c>
      <c r="C7" s="21" t="s">
        <v>26</v>
      </c>
      <c r="D7" s="21"/>
      <c r="E7" s="25">
        <f t="shared" si="2"/>
        <v>267.82608695652175</v>
      </c>
      <c r="F7" s="21">
        <v>45</v>
      </c>
      <c r="G7" s="22" t="s">
        <v>27</v>
      </c>
      <c r="H7" s="21" t="str">
        <f t="shared" si="1"/>
        <v>Electroni</v>
      </c>
    </row>
    <row r="8" spans="1:8" ht="15.75" thickBot="1" x14ac:dyDescent="0.3">
      <c r="A8" s="17" t="s">
        <v>28</v>
      </c>
      <c r="B8" s="18" t="s">
        <v>29</v>
      </c>
      <c r="C8" s="18" t="s">
        <v>30</v>
      </c>
      <c r="D8" s="18">
        <v>30</v>
      </c>
      <c r="E8" s="18">
        <f t="shared" si="2"/>
        <v>30</v>
      </c>
      <c r="F8" s="18">
        <v>5</v>
      </c>
      <c r="G8" s="19" t="s">
        <v>13</v>
      </c>
      <c r="H8" s="21" t="str">
        <f t="shared" si="1"/>
        <v>Fashion</v>
      </c>
    </row>
    <row r="9" spans="1:8" ht="15.75" thickBot="1" x14ac:dyDescent="0.3">
      <c r="A9" s="20" t="s">
        <v>31</v>
      </c>
      <c r="B9" s="21" t="s">
        <v>32</v>
      </c>
      <c r="C9" s="21" t="s">
        <v>33</v>
      </c>
      <c r="D9" s="21">
        <v>90</v>
      </c>
      <c r="E9" s="21">
        <f t="shared" si="2"/>
        <v>90</v>
      </c>
      <c r="F9" s="21">
        <v>35</v>
      </c>
      <c r="G9" s="22" t="s">
        <v>17</v>
      </c>
      <c r="H9" s="21" t="str">
        <f t="shared" si="1"/>
        <v>Kitchen</v>
      </c>
    </row>
    <row r="10" spans="1:8" ht="15.75" thickBot="1" x14ac:dyDescent="0.3">
      <c r="A10" s="17" t="s">
        <v>34</v>
      </c>
      <c r="B10" s="18" t="s">
        <v>35</v>
      </c>
      <c r="C10" s="18" t="s">
        <v>36</v>
      </c>
      <c r="D10" s="18">
        <v>500</v>
      </c>
      <c r="E10" s="18">
        <f t="shared" si="2"/>
        <v>500</v>
      </c>
      <c r="F10" s="18">
        <v>50</v>
      </c>
      <c r="G10" s="19" t="s">
        <v>9</v>
      </c>
      <c r="H10" s="21" t="str">
        <f t="shared" si="1"/>
        <v>Electronics</v>
      </c>
    </row>
    <row r="11" spans="1:8" ht="15.75" thickBot="1" x14ac:dyDescent="0.3">
      <c r="A11" s="20" t="s">
        <v>37</v>
      </c>
      <c r="B11" s="21" t="s">
        <v>38</v>
      </c>
      <c r="C11" s="21" t="s">
        <v>39</v>
      </c>
      <c r="D11" s="21">
        <v>130</v>
      </c>
      <c r="E11" s="21">
        <f t="shared" si="2"/>
        <v>130</v>
      </c>
      <c r="F11" s="21">
        <v>10</v>
      </c>
      <c r="G11" s="22" t="s">
        <v>40</v>
      </c>
      <c r="H11" s="21" t="str">
        <f t="shared" si="1"/>
        <v>Outdoor</v>
      </c>
    </row>
    <row r="12" spans="1:8" ht="15.75" thickBot="1" x14ac:dyDescent="0.3">
      <c r="A12" s="17" t="s">
        <v>41</v>
      </c>
      <c r="B12" s="18" t="s">
        <v>42</v>
      </c>
      <c r="C12" s="18" t="s">
        <v>43</v>
      </c>
      <c r="D12" s="18">
        <v>950</v>
      </c>
      <c r="E12" s="18">
        <f t="shared" si="2"/>
        <v>950</v>
      </c>
      <c r="F12" s="18">
        <v>25</v>
      </c>
      <c r="G12" s="19" t="s">
        <v>9</v>
      </c>
      <c r="H12" s="21" t="str">
        <f t="shared" si="1"/>
        <v>Electronics</v>
      </c>
    </row>
    <row r="13" spans="1:8" ht="15.75" thickBot="1" x14ac:dyDescent="0.3">
      <c r="A13" s="20" t="s">
        <v>44</v>
      </c>
      <c r="B13" s="21" t="s">
        <v>11</v>
      </c>
      <c r="C13" s="21" t="s">
        <v>30</v>
      </c>
      <c r="D13" s="21">
        <v>90</v>
      </c>
      <c r="E13" s="21">
        <f t="shared" si="2"/>
        <v>90</v>
      </c>
      <c r="F13" s="21">
        <v>40</v>
      </c>
      <c r="G13" s="22"/>
      <c r="H13" s="21" t="str">
        <f t="shared" si="1"/>
        <v>Electronics</v>
      </c>
    </row>
    <row r="14" spans="1:8" ht="15.75" thickBot="1" x14ac:dyDescent="0.3">
      <c r="A14" s="17" t="s">
        <v>45</v>
      </c>
      <c r="B14" s="18" t="s">
        <v>15</v>
      </c>
      <c r="C14" s="18" t="s">
        <v>46</v>
      </c>
      <c r="D14" s="18">
        <v>120</v>
      </c>
      <c r="E14" s="18">
        <f t="shared" si="2"/>
        <v>120</v>
      </c>
      <c r="F14" s="18">
        <v>35</v>
      </c>
      <c r="G14" s="19"/>
      <c r="H14" s="21" t="str">
        <f t="shared" si="1"/>
        <v>Electronics</v>
      </c>
    </row>
    <row r="15" spans="1:8" ht="15.75" thickBot="1" x14ac:dyDescent="0.3">
      <c r="A15" s="20" t="s">
        <v>47</v>
      </c>
      <c r="B15" s="21" t="s">
        <v>48</v>
      </c>
      <c r="C15" s="21" t="s">
        <v>49</v>
      </c>
      <c r="D15" s="21">
        <v>150</v>
      </c>
      <c r="E15" s="21">
        <f t="shared" si="2"/>
        <v>150</v>
      </c>
      <c r="F15" s="21">
        <v>15</v>
      </c>
      <c r="G15" s="22" t="s">
        <v>27</v>
      </c>
      <c r="H15" s="21" t="str">
        <f t="shared" si="1"/>
        <v>Electroni</v>
      </c>
    </row>
    <row r="16" spans="1:8" ht="15.75" thickBot="1" x14ac:dyDescent="0.3">
      <c r="A16" s="17" t="s">
        <v>50</v>
      </c>
      <c r="B16" s="18" t="s">
        <v>51</v>
      </c>
      <c r="C16" s="18" t="s">
        <v>52</v>
      </c>
      <c r="D16" s="18">
        <v>250</v>
      </c>
      <c r="E16" s="18">
        <f t="shared" si="2"/>
        <v>250</v>
      </c>
      <c r="F16" s="18">
        <v>20</v>
      </c>
      <c r="G16" s="19" t="s">
        <v>27</v>
      </c>
      <c r="H16" s="21" t="str">
        <f t="shared" si="1"/>
        <v>Electroni</v>
      </c>
    </row>
    <row r="17" spans="1:8" ht="15.75" thickBot="1" x14ac:dyDescent="0.3">
      <c r="A17" s="20" t="s">
        <v>53</v>
      </c>
      <c r="B17" s="21" t="s">
        <v>54</v>
      </c>
      <c r="C17" s="21" t="s">
        <v>55</v>
      </c>
      <c r="D17" s="21">
        <v>50</v>
      </c>
      <c r="E17" s="21">
        <f t="shared" si="2"/>
        <v>50</v>
      </c>
      <c r="F17" s="21">
        <v>35</v>
      </c>
      <c r="G17" s="22" t="s">
        <v>56</v>
      </c>
      <c r="H17" s="21" t="str">
        <f t="shared" si="1"/>
        <v>Accessories</v>
      </c>
    </row>
    <row r="18" spans="1:8" ht="15.75" thickBot="1" x14ac:dyDescent="0.3">
      <c r="A18" s="17" t="s">
        <v>57</v>
      </c>
      <c r="B18" s="18" t="s">
        <v>48</v>
      </c>
      <c r="C18" s="18" t="s">
        <v>58</v>
      </c>
      <c r="D18" s="18">
        <v>160</v>
      </c>
      <c r="E18" s="18">
        <f t="shared" si="2"/>
        <v>160</v>
      </c>
      <c r="F18" s="18">
        <v>15</v>
      </c>
      <c r="G18" s="19" t="s">
        <v>27</v>
      </c>
      <c r="H18" s="21" t="str">
        <f t="shared" si="1"/>
        <v>Electroni</v>
      </c>
    </row>
    <row r="19" spans="1:8" ht="15.75" thickBot="1" x14ac:dyDescent="0.3">
      <c r="A19" s="20" t="s">
        <v>59</v>
      </c>
      <c r="B19" s="21" t="s">
        <v>7</v>
      </c>
      <c r="C19" s="21" t="s">
        <v>60</v>
      </c>
      <c r="D19" s="21">
        <v>980</v>
      </c>
      <c r="E19" s="21">
        <f t="shared" si="2"/>
        <v>980</v>
      </c>
      <c r="F19" s="21">
        <v>10</v>
      </c>
      <c r="G19" s="22" t="s">
        <v>9</v>
      </c>
      <c r="H19" s="21" t="str">
        <f t="shared" si="1"/>
        <v>Electronics</v>
      </c>
    </row>
    <row r="20" spans="1:8" ht="15.75" thickBot="1" x14ac:dyDescent="0.3">
      <c r="A20" s="17" t="s">
        <v>61</v>
      </c>
      <c r="B20" s="18" t="s">
        <v>62</v>
      </c>
      <c r="C20" s="18" t="s">
        <v>63</v>
      </c>
      <c r="D20" s="18">
        <v>150</v>
      </c>
      <c r="E20" s="18">
        <f t="shared" si="2"/>
        <v>150</v>
      </c>
      <c r="F20" s="18">
        <v>15</v>
      </c>
      <c r="G20" s="19" t="s">
        <v>13</v>
      </c>
      <c r="H20" s="21" t="str">
        <f t="shared" si="1"/>
        <v>Fashion</v>
      </c>
    </row>
    <row r="21" spans="1:8" ht="15.75" thickBot="1" x14ac:dyDescent="0.3">
      <c r="A21" s="20" t="s">
        <v>64</v>
      </c>
      <c r="B21" s="21" t="s">
        <v>65</v>
      </c>
      <c r="C21" s="21" t="s">
        <v>66</v>
      </c>
      <c r="D21" s="21"/>
      <c r="E21" s="25">
        <f t="shared" si="2"/>
        <v>251</v>
      </c>
      <c r="F21" s="21">
        <v>10</v>
      </c>
      <c r="G21" s="22" t="s">
        <v>40</v>
      </c>
      <c r="H21" s="21" t="str">
        <f t="shared" si="1"/>
        <v>Outdoor</v>
      </c>
    </row>
    <row r="22" spans="1:8" ht="15.75" thickBot="1" x14ac:dyDescent="0.3">
      <c r="A22" s="17" t="s">
        <v>67</v>
      </c>
      <c r="B22" s="18" t="s">
        <v>68</v>
      </c>
      <c r="C22" s="18" t="s">
        <v>69</v>
      </c>
      <c r="D22" s="18">
        <v>700</v>
      </c>
      <c r="E22" s="18">
        <f t="shared" si="2"/>
        <v>700</v>
      </c>
      <c r="F22" s="18">
        <v>50</v>
      </c>
      <c r="G22" s="19" t="s">
        <v>9</v>
      </c>
      <c r="H22" s="21" t="str">
        <f t="shared" si="1"/>
        <v>Electronics</v>
      </c>
    </row>
    <row r="23" spans="1:8" ht="15.75" thickBot="1" x14ac:dyDescent="0.3">
      <c r="A23" s="20" t="s">
        <v>70</v>
      </c>
      <c r="B23" s="21" t="s">
        <v>71</v>
      </c>
      <c r="C23" s="21" t="s">
        <v>72</v>
      </c>
      <c r="D23" s="21">
        <v>80</v>
      </c>
      <c r="E23" s="21">
        <f t="shared" si="2"/>
        <v>80</v>
      </c>
      <c r="F23" s="21">
        <v>20</v>
      </c>
      <c r="G23" s="22" t="s">
        <v>17</v>
      </c>
      <c r="H23" s="21" t="str">
        <f t="shared" si="1"/>
        <v>Kitchen</v>
      </c>
    </row>
    <row r="24" spans="1:8" ht="15.75" thickBot="1" x14ac:dyDescent="0.3">
      <c r="A24" s="17" t="s">
        <v>73</v>
      </c>
      <c r="B24" s="18" t="s">
        <v>74</v>
      </c>
      <c r="C24" s="18" t="s">
        <v>75</v>
      </c>
      <c r="D24" s="18">
        <v>150</v>
      </c>
      <c r="E24" s="18">
        <f t="shared" si="2"/>
        <v>150</v>
      </c>
      <c r="F24" s="18">
        <v>30</v>
      </c>
      <c r="G24" s="19"/>
      <c r="H24" s="21" t="str">
        <f t="shared" si="1"/>
        <v>Electronics</v>
      </c>
    </row>
    <row r="25" spans="1:8" ht="15.75" thickBot="1" x14ac:dyDescent="0.3">
      <c r="A25" s="17" t="s">
        <v>76</v>
      </c>
      <c r="B25" s="18" t="s">
        <v>77</v>
      </c>
      <c r="C25" s="18" t="s">
        <v>78</v>
      </c>
      <c r="D25" s="18">
        <v>800</v>
      </c>
      <c r="E25" s="18">
        <f t="shared" si="2"/>
        <v>800</v>
      </c>
      <c r="F25" s="18">
        <v>45</v>
      </c>
      <c r="G25" s="19" t="s">
        <v>9</v>
      </c>
      <c r="H25" s="21" t="str">
        <f t="shared" si="1"/>
        <v>Electronics</v>
      </c>
    </row>
    <row r="26" spans="1:8" ht="15.75" thickBot="1" x14ac:dyDescent="0.3">
      <c r="A26" s="20" t="s">
        <v>79</v>
      </c>
      <c r="B26" s="21" t="s">
        <v>62</v>
      </c>
      <c r="C26" s="21" t="s">
        <v>80</v>
      </c>
      <c r="D26" s="21"/>
      <c r="E26" s="25">
        <f t="shared" si="2"/>
        <v>130</v>
      </c>
      <c r="F26" s="21">
        <v>25</v>
      </c>
      <c r="G26" s="22" t="s">
        <v>13</v>
      </c>
      <c r="H26" s="21" t="str">
        <f t="shared" si="1"/>
        <v>Fashion</v>
      </c>
    </row>
    <row r="27" spans="1:8" ht="15.75" thickBot="1" x14ac:dyDescent="0.3">
      <c r="A27" s="17" t="s">
        <v>81</v>
      </c>
      <c r="B27" s="18" t="s">
        <v>32</v>
      </c>
      <c r="C27" s="18" t="s">
        <v>82</v>
      </c>
      <c r="D27" s="18">
        <v>400</v>
      </c>
      <c r="E27" s="18">
        <f t="shared" si="2"/>
        <v>400</v>
      </c>
      <c r="F27" s="18">
        <v>40</v>
      </c>
      <c r="G27" s="19" t="s">
        <v>17</v>
      </c>
      <c r="H27" s="21" t="str">
        <f t="shared" si="1"/>
        <v>Kitchen</v>
      </c>
    </row>
    <row r="28" spans="1:8" ht="15.75" thickBot="1" x14ac:dyDescent="0.3">
      <c r="A28" s="17" t="s">
        <v>83</v>
      </c>
      <c r="B28" s="18" t="s">
        <v>84</v>
      </c>
      <c r="C28" s="18" t="s">
        <v>85</v>
      </c>
      <c r="D28" s="18">
        <v>60</v>
      </c>
      <c r="E28" s="18">
        <f t="shared" si="2"/>
        <v>60</v>
      </c>
      <c r="F28" s="18">
        <v>30</v>
      </c>
      <c r="G28" s="19" t="s">
        <v>13</v>
      </c>
      <c r="H28" s="21" t="str">
        <f t="shared" si="1"/>
        <v>Fashion</v>
      </c>
    </row>
    <row r="29" spans="1:8" ht="15.75" thickBot="1" x14ac:dyDescent="0.3">
      <c r="A29" s="20" t="s">
        <v>86</v>
      </c>
      <c r="B29" s="21" t="s">
        <v>87</v>
      </c>
      <c r="C29" s="21" t="s">
        <v>88</v>
      </c>
      <c r="D29" s="21">
        <v>40</v>
      </c>
      <c r="E29" s="21">
        <f t="shared" si="2"/>
        <v>40</v>
      </c>
      <c r="F29" s="21">
        <v>10</v>
      </c>
      <c r="G29" s="22" t="s">
        <v>17</v>
      </c>
      <c r="H29" s="21" t="str">
        <f t="shared" si="1"/>
        <v>Kitchen</v>
      </c>
    </row>
    <row r="30" spans="1:8" ht="15.75" thickBot="1" x14ac:dyDescent="0.3">
      <c r="A30" s="17" t="s">
        <v>89</v>
      </c>
      <c r="B30" s="18" t="s">
        <v>74</v>
      </c>
      <c r="C30" s="18" t="s">
        <v>90</v>
      </c>
      <c r="D30" s="18">
        <v>130</v>
      </c>
      <c r="E30" s="18">
        <f t="shared" si="2"/>
        <v>130</v>
      </c>
      <c r="F30" s="18">
        <v>5</v>
      </c>
      <c r="G30" s="19" t="s">
        <v>9</v>
      </c>
      <c r="H30" s="21" t="str">
        <f t="shared" si="1"/>
        <v>Electronics</v>
      </c>
    </row>
    <row r="31" spans="1:8" ht="15.75" thickBot="1" x14ac:dyDescent="0.3">
      <c r="A31" s="20" t="s">
        <v>91</v>
      </c>
      <c r="B31" s="21" t="s">
        <v>92</v>
      </c>
      <c r="C31" s="21" t="s">
        <v>93</v>
      </c>
      <c r="D31" s="21">
        <v>50</v>
      </c>
      <c r="E31" s="21">
        <f t="shared" si="2"/>
        <v>50</v>
      </c>
      <c r="F31" s="21">
        <v>50</v>
      </c>
      <c r="G31" s="22" t="s">
        <v>13</v>
      </c>
      <c r="H31" s="21" t="str">
        <f t="shared" si="1"/>
        <v>Fashion</v>
      </c>
    </row>
    <row r="32" spans="1:8" ht="15.75" thickBot="1" x14ac:dyDescent="0.3">
      <c r="A32" s="20" t="s">
        <v>94</v>
      </c>
      <c r="B32" s="21" t="s">
        <v>95</v>
      </c>
      <c r="C32" s="21" t="s">
        <v>96</v>
      </c>
      <c r="D32" s="21">
        <v>100</v>
      </c>
      <c r="E32" s="21">
        <f t="shared" si="2"/>
        <v>100</v>
      </c>
      <c r="F32" s="21">
        <v>20</v>
      </c>
      <c r="G32" s="22" t="s">
        <v>56</v>
      </c>
      <c r="H32" s="23" t="str">
        <f t="shared" si="1"/>
        <v>Accessories</v>
      </c>
    </row>
    <row r="34" spans="3:5" x14ac:dyDescent="0.25">
      <c r="C34" s="27" t="s">
        <v>97</v>
      </c>
      <c r="D34" s="27"/>
    </row>
    <row r="35" spans="3:5" x14ac:dyDescent="0.25">
      <c r="D35" s="24"/>
    </row>
    <row r="36" spans="3:5" x14ac:dyDescent="0.25">
      <c r="C36" s="26" t="s">
        <v>100</v>
      </c>
      <c r="D36" s="24" t="s">
        <v>102</v>
      </c>
      <c r="E36" s="24"/>
    </row>
    <row r="37" spans="3:5" x14ac:dyDescent="0.25">
      <c r="C37" s="26" t="s">
        <v>100</v>
      </c>
      <c r="D37" s="24" t="s">
        <v>103</v>
      </c>
      <c r="E37" s="24"/>
    </row>
    <row r="38" spans="3:5" x14ac:dyDescent="0.25">
      <c r="C38" s="26" t="s">
        <v>100</v>
      </c>
      <c r="D38" s="24" t="s">
        <v>104</v>
      </c>
      <c r="E38" s="24"/>
    </row>
    <row r="39" spans="3:5" x14ac:dyDescent="0.25">
      <c r="D39" s="24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C16" workbookViewId="0">
      <selection activeCell="M34" sqref="M34"/>
    </sheetView>
  </sheetViews>
  <sheetFormatPr defaultRowHeight="15" x14ac:dyDescent="0.25"/>
  <cols>
    <col min="1" max="2" width="15.7109375" customWidth="1"/>
    <col min="3" max="3" width="17.85546875" customWidth="1"/>
    <col min="4" max="4" width="15.7109375" customWidth="1"/>
    <col min="5" max="5" width="16.5703125" customWidth="1"/>
    <col min="6" max="6" width="19.140625" customWidth="1"/>
    <col min="7" max="7" width="15.28515625" customWidth="1"/>
    <col min="8" max="8" width="22.85546875" customWidth="1"/>
    <col min="9" max="9" width="11.7109375" customWidth="1"/>
    <col min="10" max="10" width="12" customWidth="1"/>
    <col min="11" max="11" width="11.7109375" customWidth="1"/>
    <col min="12" max="12" width="14.140625" customWidth="1"/>
    <col min="13" max="13" width="16.7109375" customWidth="1"/>
  </cols>
  <sheetData>
    <row r="1" spans="1:13" ht="27" thickBot="1" x14ac:dyDescent="0.3">
      <c r="A1" s="13" t="s">
        <v>0</v>
      </c>
      <c r="B1" s="13" t="s">
        <v>109</v>
      </c>
      <c r="C1" s="39" t="s">
        <v>114</v>
      </c>
      <c r="D1" s="13" t="s">
        <v>110</v>
      </c>
      <c r="E1" s="14" t="s">
        <v>1</v>
      </c>
      <c r="F1" s="31" t="s">
        <v>106</v>
      </c>
      <c r="G1" s="14" t="s">
        <v>2</v>
      </c>
      <c r="H1" s="33" t="s">
        <v>113</v>
      </c>
      <c r="I1" s="28" t="s">
        <v>3</v>
      </c>
      <c r="J1" s="35" t="s">
        <v>99</v>
      </c>
      <c r="K1" s="14" t="s">
        <v>4</v>
      </c>
      <c r="L1" s="15" t="s">
        <v>5</v>
      </c>
      <c r="M1" s="31" t="s">
        <v>107</v>
      </c>
    </row>
    <row r="2" spans="1:13" ht="15.75" thickBot="1" x14ac:dyDescent="0.3">
      <c r="A2" s="17" t="s">
        <v>6</v>
      </c>
      <c r="B2" s="17" t="str">
        <f t="shared" ref="B2:B32" si="0">LEFT(A2,6)</f>
        <v>28-JAN</v>
      </c>
      <c r="C2" s="17" t="str">
        <f t="shared" ref="C2:C32" si="1">B2&amp;"-2024"</f>
        <v>28-JAN-2024</v>
      </c>
      <c r="D2" s="17" t="str">
        <f t="shared" ref="D2:D32" si="2">RIGHT(A2,2)</f>
        <v>US</v>
      </c>
      <c r="E2" s="18" t="s">
        <v>7</v>
      </c>
      <c r="F2" s="18" t="str">
        <f t="shared" ref="F2:F32" si="3">PROPER(TRIM(E2))</f>
        <v>Laptop</v>
      </c>
      <c r="G2" s="19" t="s">
        <v>8</v>
      </c>
      <c r="H2" s="34" t="str">
        <f>E2&amp;" "&amp;G2</f>
        <v>laptop Dell</v>
      </c>
      <c r="I2" s="32">
        <v>1000</v>
      </c>
      <c r="J2" s="36">
        <f t="shared" ref="J2:J4" si="4">IF(I2="",AVERAGE(I2:I32),I2)</f>
        <v>1000</v>
      </c>
      <c r="K2" s="18">
        <v>30</v>
      </c>
      <c r="L2" s="19" t="s">
        <v>9</v>
      </c>
      <c r="M2" s="29" t="str">
        <f t="shared" ref="M2:M32" si="5">IF(L2="","Electronics",L2)</f>
        <v>Electronics</v>
      </c>
    </row>
    <row r="3" spans="1:13" ht="15.75" thickBot="1" x14ac:dyDescent="0.3">
      <c r="A3" s="20" t="s">
        <v>10</v>
      </c>
      <c r="B3" s="20" t="str">
        <f t="shared" si="0"/>
        <v>15-FEB</v>
      </c>
      <c r="C3" s="20" t="str">
        <f t="shared" si="1"/>
        <v>15-FEB-2024</v>
      </c>
      <c r="D3" s="20" t="str">
        <f t="shared" si="2"/>
        <v>US</v>
      </c>
      <c r="E3" s="21" t="s">
        <v>11</v>
      </c>
      <c r="F3" s="21" t="str">
        <f t="shared" si="3"/>
        <v>Sneakers</v>
      </c>
      <c r="G3" s="22" t="s">
        <v>12</v>
      </c>
      <c r="H3" s="34" t="str">
        <f t="shared" ref="H3:H32" si="6">E3&amp;" "&amp;G3</f>
        <v>Sneakers Nike</v>
      </c>
      <c r="I3" s="32">
        <v>80</v>
      </c>
      <c r="J3" s="37">
        <f t="shared" si="4"/>
        <v>80</v>
      </c>
      <c r="K3" s="21">
        <v>15</v>
      </c>
      <c r="L3" s="22" t="s">
        <v>13</v>
      </c>
      <c r="M3" s="29" t="str">
        <f t="shared" si="5"/>
        <v>Fashion</v>
      </c>
    </row>
    <row r="4" spans="1:13" ht="15.75" thickBot="1" x14ac:dyDescent="0.3">
      <c r="A4" s="17" t="s">
        <v>14</v>
      </c>
      <c r="B4" s="17" t="str">
        <f t="shared" si="0"/>
        <v>03-MAR</v>
      </c>
      <c r="C4" s="17" t="str">
        <f t="shared" si="1"/>
        <v>03-MAR-2024</v>
      </c>
      <c r="D4" s="17" t="str">
        <f t="shared" si="2"/>
        <v>US</v>
      </c>
      <c r="E4" s="18" t="s">
        <v>15</v>
      </c>
      <c r="F4" s="18" t="str">
        <f t="shared" si="3"/>
        <v>Coffee Maker</v>
      </c>
      <c r="G4" s="19" t="s">
        <v>16</v>
      </c>
      <c r="H4" s="34" t="str">
        <f t="shared" si="6"/>
        <v>Coffee Maker Keurig</v>
      </c>
      <c r="I4" s="32">
        <v>130</v>
      </c>
      <c r="J4" s="36">
        <f t="shared" si="4"/>
        <v>130</v>
      </c>
      <c r="K4" s="18">
        <v>40</v>
      </c>
      <c r="L4" s="19" t="s">
        <v>17</v>
      </c>
      <c r="M4" s="29" t="str">
        <f t="shared" si="5"/>
        <v>Kitchen</v>
      </c>
    </row>
    <row r="5" spans="1:13" ht="15.75" thickBot="1" x14ac:dyDescent="0.3">
      <c r="A5" s="20" t="s">
        <v>18</v>
      </c>
      <c r="B5" s="20" t="str">
        <f t="shared" si="0"/>
        <v>11-APR</v>
      </c>
      <c r="C5" s="20" t="str">
        <f t="shared" si="1"/>
        <v>11-APR-2024</v>
      </c>
      <c r="D5" s="20" t="str">
        <f t="shared" si="2"/>
        <v>US</v>
      </c>
      <c r="E5" s="21" t="s">
        <v>19</v>
      </c>
      <c r="F5" s="21" t="str">
        <f t="shared" si="3"/>
        <v>Smartphone</v>
      </c>
      <c r="G5" s="22" t="s">
        <v>20</v>
      </c>
      <c r="H5" s="34" t="str">
        <f t="shared" si="6"/>
        <v>smartphone Samsung</v>
      </c>
      <c r="I5" s="32">
        <v>900</v>
      </c>
      <c r="J5" s="37">
        <f t="shared" ref="J5:J15" si="7">IF(I5="",AVERAGE(I5:I37),I5)</f>
        <v>900</v>
      </c>
      <c r="K5" s="21">
        <v>25</v>
      </c>
      <c r="L5" s="22" t="s">
        <v>9</v>
      </c>
      <c r="M5" s="29" t="str">
        <f t="shared" si="5"/>
        <v>Electronics</v>
      </c>
    </row>
    <row r="6" spans="1:13" ht="15.75" thickBot="1" x14ac:dyDescent="0.3">
      <c r="A6" s="17" t="s">
        <v>21</v>
      </c>
      <c r="B6" s="17" t="str">
        <f t="shared" si="0"/>
        <v>22-MAY</v>
      </c>
      <c r="C6" s="17" t="str">
        <f t="shared" si="1"/>
        <v>22-MAY-2024</v>
      </c>
      <c r="D6" s="17" t="str">
        <f t="shared" si="2"/>
        <v>US</v>
      </c>
      <c r="E6" s="18" t="s">
        <v>22</v>
      </c>
      <c r="F6" s="18" t="str">
        <f t="shared" si="3"/>
        <v>Backpack</v>
      </c>
      <c r="G6" s="19" t="s">
        <v>23</v>
      </c>
      <c r="H6" s="34" t="str">
        <f t="shared" si="6"/>
        <v>Backpack North Face</v>
      </c>
      <c r="I6" s="32">
        <v>70</v>
      </c>
      <c r="J6" s="36">
        <f t="shared" si="7"/>
        <v>70</v>
      </c>
      <c r="K6" s="18">
        <v>20</v>
      </c>
      <c r="L6" s="19"/>
      <c r="M6" s="29" t="str">
        <f t="shared" si="5"/>
        <v>Electronics</v>
      </c>
    </row>
    <row r="7" spans="1:13" ht="15.75" thickBot="1" x14ac:dyDescent="0.3">
      <c r="A7" s="20" t="s">
        <v>24</v>
      </c>
      <c r="B7" s="20" t="str">
        <f t="shared" si="0"/>
        <v>07-JUN</v>
      </c>
      <c r="C7" s="20" t="str">
        <f t="shared" si="1"/>
        <v>07-JUN-2024</v>
      </c>
      <c r="D7" s="20" t="str">
        <f t="shared" si="2"/>
        <v>UK</v>
      </c>
      <c r="E7" s="21" t="s">
        <v>25</v>
      </c>
      <c r="F7" s="21" t="str">
        <f t="shared" si="3"/>
        <v>Headphones</v>
      </c>
      <c r="G7" s="22" t="s">
        <v>26</v>
      </c>
      <c r="H7" s="34" t="str">
        <f t="shared" si="6"/>
        <v>Headphones Sony</v>
      </c>
      <c r="I7" s="32"/>
      <c r="J7" s="38">
        <f t="shared" si="7"/>
        <v>267.82608695652175</v>
      </c>
      <c r="K7" s="21">
        <v>45</v>
      </c>
      <c r="L7" s="22" t="s">
        <v>9</v>
      </c>
      <c r="M7" s="29" t="str">
        <f t="shared" si="5"/>
        <v>Electronics</v>
      </c>
    </row>
    <row r="8" spans="1:13" ht="15.75" thickBot="1" x14ac:dyDescent="0.3">
      <c r="A8" s="17" t="s">
        <v>28</v>
      </c>
      <c r="B8" s="17" t="str">
        <f t="shared" si="0"/>
        <v>19-JUL</v>
      </c>
      <c r="C8" s="17" t="str">
        <f t="shared" si="1"/>
        <v>19-JUL-2024</v>
      </c>
      <c r="D8" s="17" t="str">
        <f t="shared" si="2"/>
        <v>UK</v>
      </c>
      <c r="E8" s="18" t="s">
        <v>29</v>
      </c>
      <c r="F8" s="18" t="str">
        <f t="shared" si="3"/>
        <v>T-Shirt</v>
      </c>
      <c r="G8" s="19" t="s">
        <v>30</v>
      </c>
      <c r="H8" s="34" t="str">
        <f t="shared" si="6"/>
        <v>T-shirt Adidas</v>
      </c>
      <c r="I8" s="32">
        <v>30</v>
      </c>
      <c r="J8" s="36">
        <f t="shared" si="7"/>
        <v>30</v>
      </c>
      <c r="K8" s="18">
        <v>5</v>
      </c>
      <c r="L8" s="19" t="s">
        <v>13</v>
      </c>
      <c r="M8" s="29" t="str">
        <f t="shared" si="5"/>
        <v>Fashion</v>
      </c>
    </row>
    <row r="9" spans="1:13" ht="15.75" thickBot="1" x14ac:dyDescent="0.3">
      <c r="A9" s="20" t="s">
        <v>31</v>
      </c>
      <c r="B9" s="20" t="str">
        <f t="shared" si="0"/>
        <v>23-AUG</v>
      </c>
      <c r="C9" s="20" t="str">
        <f t="shared" si="1"/>
        <v>23-AUG-2024</v>
      </c>
      <c r="D9" s="20" t="str">
        <f t="shared" si="2"/>
        <v>UK</v>
      </c>
      <c r="E9" s="21" t="s">
        <v>32</v>
      </c>
      <c r="F9" s="21" t="str">
        <f t="shared" si="3"/>
        <v>Blender</v>
      </c>
      <c r="G9" s="22" t="s">
        <v>33</v>
      </c>
      <c r="H9" s="34" t="str">
        <f t="shared" si="6"/>
        <v>Blender Ninja</v>
      </c>
      <c r="I9" s="32">
        <v>90</v>
      </c>
      <c r="J9" s="37">
        <f t="shared" si="7"/>
        <v>90</v>
      </c>
      <c r="K9" s="21">
        <v>35</v>
      </c>
      <c r="L9" s="22" t="s">
        <v>17</v>
      </c>
      <c r="M9" s="29" t="str">
        <f t="shared" si="5"/>
        <v>Kitchen</v>
      </c>
    </row>
    <row r="10" spans="1:13" ht="15.75" thickBot="1" x14ac:dyDescent="0.3">
      <c r="A10" s="17" t="s">
        <v>34</v>
      </c>
      <c r="B10" s="17" t="str">
        <f t="shared" si="0"/>
        <v>05-SEP</v>
      </c>
      <c r="C10" s="17" t="str">
        <f t="shared" si="1"/>
        <v>05-SEP-2024</v>
      </c>
      <c r="D10" s="17" t="str">
        <f t="shared" si="2"/>
        <v>UK</v>
      </c>
      <c r="E10" s="18" t="s">
        <v>35</v>
      </c>
      <c r="F10" s="18" t="str">
        <f t="shared" si="3"/>
        <v>Tablet</v>
      </c>
      <c r="G10" s="19" t="s">
        <v>36</v>
      </c>
      <c r="H10" s="34" t="str">
        <f t="shared" si="6"/>
        <v>Tablet Apple</v>
      </c>
      <c r="I10" s="32">
        <v>500</v>
      </c>
      <c r="J10" s="36">
        <f t="shared" si="7"/>
        <v>500</v>
      </c>
      <c r="K10" s="18">
        <v>50</v>
      </c>
      <c r="L10" s="19" t="s">
        <v>9</v>
      </c>
      <c r="M10" s="29" t="str">
        <f t="shared" si="5"/>
        <v>Electronics</v>
      </c>
    </row>
    <row r="11" spans="1:13" ht="15.75" thickBot="1" x14ac:dyDescent="0.3">
      <c r="A11" s="20" t="s">
        <v>37</v>
      </c>
      <c r="B11" s="20" t="str">
        <f t="shared" si="0"/>
        <v>14-OCT</v>
      </c>
      <c r="C11" s="20" t="str">
        <f t="shared" si="1"/>
        <v>14-OCT-2024</v>
      </c>
      <c r="D11" s="20" t="str">
        <f t="shared" si="2"/>
        <v>UK</v>
      </c>
      <c r="E11" s="21" t="s">
        <v>38</v>
      </c>
      <c r="F11" s="21" t="str">
        <f t="shared" si="3"/>
        <v>Hiking Boots</v>
      </c>
      <c r="G11" s="22" t="s">
        <v>39</v>
      </c>
      <c r="H11" s="34" t="str">
        <f t="shared" si="6"/>
        <v>Hiking Boots Timberland</v>
      </c>
      <c r="I11" s="32">
        <v>130</v>
      </c>
      <c r="J11" s="37">
        <f t="shared" si="7"/>
        <v>130</v>
      </c>
      <c r="K11" s="21">
        <v>10</v>
      </c>
      <c r="L11" s="22" t="s">
        <v>40</v>
      </c>
      <c r="M11" s="29" t="str">
        <f t="shared" si="5"/>
        <v>Outdoor</v>
      </c>
    </row>
    <row r="12" spans="1:13" ht="15.75" thickBot="1" x14ac:dyDescent="0.3">
      <c r="A12" s="17" t="s">
        <v>41</v>
      </c>
      <c r="B12" s="17" t="str">
        <f t="shared" si="0"/>
        <v>17-JUN</v>
      </c>
      <c r="C12" s="17" t="str">
        <f t="shared" si="1"/>
        <v>17-JUN-2024</v>
      </c>
      <c r="D12" s="17" t="str">
        <f t="shared" si="2"/>
        <v>IN</v>
      </c>
      <c r="E12" s="18" t="s">
        <v>42</v>
      </c>
      <c r="F12" s="18" t="str">
        <f t="shared" si="3"/>
        <v>Laptop</v>
      </c>
      <c r="G12" s="19" t="s">
        <v>43</v>
      </c>
      <c r="H12" s="34" t="str">
        <f t="shared" si="6"/>
        <v>Laptop HP</v>
      </c>
      <c r="I12" s="32">
        <v>950</v>
      </c>
      <c r="J12" s="36">
        <f t="shared" si="7"/>
        <v>950</v>
      </c>
      <c r="K12" s="18">
        <v>25</v>
      </c>
      <c r="L12" s="19" t="s">
        <v>9</v>
      </c>
      <c r="M12" s="29" t="str">
        <f t="shared" si="5"/>
        <v>Electronics</v>
      </c>
    </row>
    <row r="13" spans="1:13" ht="15.75" thickBot="1" x14ac:dyDescent="0.3">
      <c r="A13" s="20" t="s">
        <v>44</v>
      </c>
      <c r="B13" s="20" t="str">
        <f t="shared" si="0"/>
        <v>25-NOV</v>
      </c>
      <c r="C13" s="20" t="str">
        <f t="shared" si="1"/>
        <v>25-NOV-2024</v>
      </c>
      <c r="D13" s="20" t="str">
        <f t="shared" si="2"/>
        <v>AU</v>
      </c>
      <c r="E13" s="21" t="s">
        <v>11</v>
      </c>
      <c r="F13" s="21" t="str">
        <f t="shared" si="3"/>
        <v>Sneakers</v>
      </c>
      <c r="G13" s="22" t="s">
        <v>30</v>
      </c>
      <c r="H13" s="34" t="str">
        <f t="shared" si="6"/>
        <v>Sneakers Adidas</v>
      </c>
      <c r="I13" s="32">
        <v>90</v>
      </c>
      <c r="J13" s="37">
        <f t="shared" si="7"/>
        <v>90</v>
      </c>
      <c r="K13" s="21">
        <v>40</v>
      </c>
      <c r="L13" s="22"/>
      <c r="M13" s="29" t="str">
        <f t="shared" si="5"/>
        <v>Electronics</v>
      </c>
    </row>
    <row r="14" spans="1:13" ht="15.75" thickBot="1" x14ac:dyDescent="0.3">
      <c r="A14" s="17" t="s">
        <v>45</v>
      </c>
      <c r="B14" s="17" t="str">
        <f t="shared" si="0"/>
        <v>08-DEC</v>
      </c>
      <c r="C14" s="17" t="str">
        <f t="shared" si="1"/>
        <v>08-DEC-2024</v>
      </c>
      <c r="D14" s="17" t="str">
        <f t="shared" si="2"/>
        <v>DE</v>
      </c>
      <c r="E14" s="18" t="s">
        <v>15</v>
      </c>
      <c r="F14" s="18" t="str">
        <f t="shared" si="3"/>
        <v>Coffee Maker</v>
      </c>
      <c r="G14" s="19" t="s">
        <v>46</v>
      </c>
      <c r="H14" s="34" t="str">
        <f t="shared" si="6"/>
        <v>Coffee Maker Nespresso</v>
      </c>
      <c r="I14" s="32">
        <v>120</v>
      </c>
      <c r="J14" s="36">
        <f t="shared" si="7"/>
        <v>120</v>
      </c>
      <c r="K14" s="18">
        <v>35</v>
      </c>
      <c r="L14" s="19"/>
      <c r="M14" s="29" t="str">
        <f t="shared" si="5"/>
        <v>Electronics</v>
      </c>
    </row>
    <row r="15" spans="1:13" ht="15.75" thickBot="1" x14ac:dyDescent="0.3">
      <c r="A15" s="20" t="s">
        <v>47</v>
      </c>
      <c r="B15" s="20" t="str">
        <f t="shared" si="0"/>
        <v>18-FEB</v>
      </c>
      <c r="C15" s="20" t="str">
        <f t="shared" si="1"/>
        <v>18-FEB-2024</v>
      </c>
      <c r="D15" s="20" t="str">
        <f t="shared" si="2"/>
        <v>CA</v>
      </c>
      <c r="E15" s="21" t="s">
        <v>48</v>
      </c>
      <c r="F15" s="21" t="str">
        <f t="shared" si="3"/>
        <v>Smartwatch</v>
      </c>
      <c r="G15" s="22" t="s">
        <v>49</v>
      </c>
      <c r="H15" s="34" t="str">
        <f t="shared" si="6"/>
        <v>Smartwatch Fitbit</v>
      </c>
      <c r="I15" s="32">
        <v>150</v>
      </c>
      <c r="J15" s="37">
        <f t="shared" si="7"/>
        <v>150</v>
      </c>
      <c r="K15" s="21">
        <v>15</v>
      </c>
      <c r="L15" s="22" t="s">
        <v>9</v>
      </c>
      <c r="M15" s="29" t="str">
        <f t="shared" si="5"/>
        <v>Electronics</v>
      </c>
    </row>
    <row r="16" spans="1:13" ht="15.75" thickBot="1" x14ac:dyDescent="0.3">
      <c r="A16" s="17" t="s">
        <v>50</v>
      </c>
      <c r="B16" s="17" t="str">
        <f t="shared" si="0"/>
        <v>16-APR</v>
      </c>
      <c r="C16" s="17" t="str">
        <f t="shared" si="1"/>
        <v>16-APR-2024</v>
      </c>
      <c r="D16" s="17" t="str">
        <f t="shared" si="2"/>
        <v>ES</v>
      </c>
      <c r="E16" s="18" t="s">
        <v>51</v>
      </c>
      <c r="F16" s="18" t="str">
        <f t="shared" si="3"/>
        <v>Headphones</v>
      </c>
      <c r="G16" s="19" t="s">
        <v>52</v>
      </c>
      <c r="H16" s="34" t="str">
        <f t="shared" si="6"/>
        <v>headphones Bose</v>
      </c>
      <c r="I16" s="32">
        <v>250</v>
      </c>
      <c r="J16" s="36">
        <f t="shared" ref="J16:J32" si="8">IF(I16="",AVERAGE(I16:I49),I16)</f>
        <v>250</v>
      </c>
      <c r="K16" s="18">
        <v>20</v>
      </c>
      <c r="L16" s="19" t="s">
        <v>9</v>
      </c>
      <c r="M16" s="29" t="str">
        <f t="shared" si="5"/>
        <v>Electronics</v>
      </c>
    </row>
    <row r="17" spans="1:13" ht="15.75" thickBot="1" x14ac:dyDescent="0.3">
      <c r="A17" s="20" t="s">
        <v>53</v>
      </c>
      <c r="B17" s="20" t="str">
        <f t="shared" si="0"/>
        <v>21-AUG</v>
      </c>
      <c r="C17" s="20" t="str">
        <f t="shared" si="1"/>
        <v>21-AUG-2024</v>
      </c>
      <c r="D17" s="20" t="str">
        <f t="shared" si="2"/>
        <v>CA</v>
      </c>
      <c r="E17" s="21" t="s">
        <v>54</v>
      </c>
      <c r="F17" s="21" t="str">
        <f t="shared" si="3"/>
        <v>Laptop Bag</v>
      </c>
      <c r="G17" s="22" t="s">
        <v>55</v>
      </c>
      <c r="H17" s="34" t="str">
        <f t="shared" si="6"/>
        <v>Laptop Bag Samsonite</v>
      </c>
      <c r="I17" s="32">
        <v>50</v>
      </c>
      <c r="J17" s="37">
        <f t="shared" si="8"/>
        <v>50</v>
      </c>
      <c r="K17" s="21">
        <v>35</v>
      </c>
      <c r="L17" s="22" t="s">
        <v>56</v>
      </c>
      <c r="M17" s="29" t="str">
        <f t="shared" si="5"/>
        <v>Accessories</v>
      </c>
    </row>
    <row r="18" spans="1:13" ht="15.75" thickBot="1" x14ac:dyDescent="0.3">
      <c r="A18" s="17" t="s">
        <v>57</v>
      </c>
      <c r="B18" s="17" t="str">
        <f t="shared" si="0"/>
        <v>20-AUG</v>
      </c>
      <c r="C18" s="17" t="str">
        <f t="shared" si="1"/>
        <v>20-AUG-2024</v>
      </c>
      <c r="D18" s="17" t="str">
        <f t="shared" si="2"/>
        <v>CN</v>
      </c>
      <c r="E18" s="18" t="s">
        <v>48</v>
      </c>
      <c r="F18" s="18" t="str">
        <f t="shared" si="3"/>
        <v>Smartwatch</v>
      </c>
      <c r="G18" s="19" t="s">
        <v>58</v>
      </c>
      <c r="H18" s="34" t="str">
        <f t="shared" si="6"/>
        <v>Smartwatch Huawei</v>
      </c>
      <c r="I18" s="32">
        <v>160</v>
      </c>
      <c r="J18" s="36">
        <f t="shared" si="8"/>
        <v>160</v>
      </c>
      <c r="K18" s="18">
        <v>15</v>
      </c>
      <c r="L18" s="19" t="s">
        <v>9</v>
      </c>
      <c r="M18" s="29" t="str">
        <f t="shared" si="5"/>
        <v>Electronics</v>
      </c>
    </row>
    <row r="19" spans="1:13" ht="15.75" thickBot="1" x14ac:dyDescent="0.3">
      <c r="A19" s="20" t="s">
        <v>59</v>
      </c>
      <c r="B19" s="20" t="str">
        <f t="shared" si="0"/>
        <v>27-JAN</v>
      </c>
      <c r="C19" s="20" t="str">
        <f t="shared" si="1"/>
        <v>27-JAN-2024</v>
      </c>
      <c r="D19" s="20" t="str">
        <f t="shared" si="2"/>
        <v>IT</v>
      </c>
      <c r="E19" s="21" t="s">
        <v>7</v>
      </c>
      <c r="F19" s="21" t="str">
        <f t="shared" si="3"/>
        <v>Laptop</v>
      </c>
      <c r="G19" s="22" t="s">
        <v>60</v>
      </c>
      <c r="H19" s="34" t="str">
        <f t="shared" si="6"/>
        <v>laptop Asus</v>
      </c>
      <c r="I19" s="32">
        <v>980</v>
      </c>
      <c r="J19" s="37">
        <f t="shared" si="8"/>
        <v>980</v>
      </c>
      <c r="K19" s="21">
        <v>10</v>
      </c>
      <c r="L19" s="22" t="s">
        <v>9</v>
      </c>
      <c r="M19" s="29" t="str">
        <f t="shared" si="5"/>
        <v>Electronics</v>
      </c>
    </row>
    <row r="20" spans="1:13" ht="15.75" thickBot="1" x14ac:dyDescent="0.3">
      <c r="A20" s="17" t="s">
        <v>61</v>
      </c>
      <c r="B20" s="17" t="str">
        <f t="shared" si="0"/>
        <v>01-MAR</v>
      </c>
      <c r="C20" s="17" t="str">
        <f t="shared" si="1"/>
        <v>01-MAR-2024</v>
      </c>
      <c r="D20" s="17" t="str">
        <f t="shared" si="2"/>
        <v>UK</v>
      </c>
      <c r="E20" s="18" t="s">
        <v>62</v>
      </c>
      <c r="F20" s="18" t="str">
        <f t="shared" si="3"/>
        <v>Sunglasses</v>
      </c>
      <c r="G20" s="19" t="s">
        <v>63</v>
      </c>
      <c r="H20" s="34" t="str">
        <f t="shared" si="6"/>
        <v>Sunglasses Oakley</v>
      </c>
      <c r="I20" s="32">
        <v>150</v>
      </c>
      <c r="J20" s="36">
        <f t="shared" si="8"/>
        <v>150</v>
      </c>
      <c r="K20" s="18">
        <v>15</v>
      </c>
      <c r="L20" s="19" t="s">
        <v>13</v>
      </c>
      <c r="M20" s="29" t="str">
        <f t="shared" si="5"/>
        <v>Fashion</v>
      </c>
    </row>
    <row r="21" spans="1:13" ht="15.75" thickBot="1" x14ac:dyDescent="0.3">
      <c r="A21" s="20" t="s">
        <v>64</v>
      </c>
      <c r="B21" s="20" t="str">
        <f t="shared" si="0"/>
        <v>14-AUG</v>
      </c>
      <c r="C21" s="20" t="str">
        <f t="shared" si="1"/>
        <v>14-AUG-2024</v>
      </c>
      <c r="D21" s="20" t="str">
        <f t="shared" si="2"/>
        <v>US</v>
      </c>
      <c r="E21" s="21" t="s">
        <v>65</v>
      </c>
      <c r="F21" s="21" t="str">
        <f t="shared" si="3"/>
        <v>Camping Tent</v>
      </c>
      <c r="G21" s="22" t="s">
        <v>66</v>
      </c>
      <c r="H21" s="34" t="str">
        <f t="shared" si="6"/>
        <v>Camping Tent Coleman</v>
      </c>
      <c r="I21" s="32"/>
      <c r="J21" s="38">
        <f t="shared" si="8"/>
        <v>251</v>
      </c>
      <c r="K21" s="21">
        <v>10</v>
      </c>
      <c r="L21" s="22" t="s">
        <v>40</v>
      </c>
      <c r="M21" s="29" t="str">
        <f t="shared" si="5"/>
        <v>Outdoor</v>
      </c>
    </row>
    <row r="22" spans="1:13" ht="15.75" thickBot="1" x14ac:dyDescent="0.3">
      <c r="A22" s="17" t="s">
        <v>67</v>
      </c>
      <c r="B22" s="17" t="str">
        <f t="shared" si="0"/>
        <v>14-MAY</v>
      </c>
      <c r="C22" s="17" t="str">
        <f t="shared" si="1"/>
        <v>14-MAY-2024</v>
      </c>
      <c r="D22" s="17" t="str">
        <f t="shared" si="2"/>
        <v>RU</v>
      </c>
      <c r="E22" s="18" t="s">
        <v>68</v>
      </c>
      <c r="F22" s="18" t="str">
        <f t="shared" si="3"/>
        <v>Camera</v>
      </c>
      <c r="G22" s="19" t="s">
        <v>69</v>
      </c>
      <c r="H22" s="34" t="str">
        <f t="shared" si="6"/>
        <v>Camera Nikon</v>
      </c>
      <c r="I22" s="32">
        <v>700</v>
      </c>
      <c r="J22" s="36">
        <f t="shared" si="8"/>
        <v>700</v>
      </c>
      <c r="K22" s="18">
        <v>50</v>
      </c>
      <c r="L22" s="19" t="s">
        <v>9</v>
      </c>
      <c r="M22" s="29" t="str">
        <f t="shared" si="5"/>
        <v>Electronics</v>
      </c>
    </row>
    <row r="23" spans="1:13" ht="15.75" thickBot="1" x14ac:dyDescent="0.3">
      <c r="A23" s="20" t="s">
        <v>70</v>
      </c>
      <c r="B23" s="20" t="str">
        <f t="shared" si="0"/>
        <v>09-JAN</v>
      </c>
      <c r="C23" s="20" t="str">
        <f t="shared" si="1"/>
        <v>09-JAN-2024</v>
      </c>
      <c r="D23" s="20" t="str">
        <f t="shared" si="2"/>
        <v>CA</v>
      </c>
      <c r="E23" s="21" t="s">
        <v>71</v>
      </c>
      <c r="F23" s="21" t="str">
        <f t="shared" si="3"/>
        <v>Microwave</v>
      </c>
      <c r="G23" s="22" t="s">
        <v>72</v>
      </c>
      <c r="H23" s="34" t="str">
        <f t="shared" si="6"/>
        <v>Microwave Panasonic</v>
      </c>
      <c r="I23" s="32">
        <v>80</v>
      </c>
      <c r="J23" s="37">
        <f t="shared" si="8"/>
        <v>80</v>
      </c>
      <c r="K23" s="21">
        <v>20</v>
      </c>
      <c r="L23" s="22" t="s">
        <v>17</v>
      </c>
      <c r="M23" s="29" t="str">
        <f t="shared" si="5"/>
        <v>Kitchen</v>
      </c>
    </row>
    <row r="24" spans="1:13" ht="19.5" customHeight="1" thickBot="1" x14ac:dyDescent="0.3">
      <c r="A24" s="17" t="s">
        <v>73</v>
      </c>
      <c r="B24" s="17" t="str">
        <f t="shared" si="0"/>
        <v>19-JUL</v>
      </c>
      <c r="C24" s="17" t="str">
        <f t="shared" si="1"/>
        <v>19-JUL-2024</v>
      </c>
      <c r="D24" s="17" t="str">
        <f t="shared" si="2"/>
        <v>BR</v>
      </c>
      <c r="E24" s="18" t="s">
        <v>74</v>
      </c>
      <c r="F24" s="18" t="str">
        <f t="shared" si="3"/>
        <v>Fitness Tracker</v>
      </c>
      <c r="G24" s="19" t="s">
        <v>75</v>
      </c>
      <c r="H24" s="34" t="str">
        <f t="shared" si="6"/>
        <v>Fitness Tracker Xiaomi</v>
      </c>
      <c r="I24" s="32">
        <v>150</v>
      </c>
      <c r="J24" s="36">
        <f t="shared" si="8"/>
        <v>150</v>
      </c>
      <c r="K24" s="18">
        <v>30</v>
      </c>
      <c r="L24" s="19"/>
      <c r="M24" s="29" t="str">
        <f t="shared" si="5"/>
        <v>Electronics</v>
      </c>
    </row>
    <row r="25" spans="1:13" ht="15.75" thickBot="1" x14ac:dyDescent="0.3">
      <c r="A25" s="17" t="s">
        <v>76</v>
      </c>
      <c r="B25" s="17" t="str">
        <f t="shared" si="0"/>
        <v>29-SEP</v>
      </c>
      <c r="C25" s="17" t="str">
        <f t="shared" si="1"/>
        <v>29-SEP-2024</v>
      </c>
      <c r="D25" s="17" t="str">
        <f t="shared" si="2"/>
        <v>CA</v>
      </c>
      <c r="E25" s="18" t="s">
        <v>77</v>
      </c>
      <c r="F25" s="18" t="str">
        <f t="shared" si="3"/>
        <v>Smartphone</v>
      </c>
      <c r="G25" s="19" t="s">
        <v>78</v>
      </c>
      <c r="H25" s="34" t="str">
        <f t="shared" si="6"/>
        <v>Smartphone Google</v>
      </c>
      <c r="I25" s="32">
        <v>800</v>
      </c>
      <c r="J25" s="36">
        <f t="shared" si="8"/>
        <v>800</v>
      </c>
      <c r="K25" s="18">
        <v>45</v>
      </c>
      <c r="L25" s="19" t="s">
        <v>9</v>
      </c>
      <c r="M25" s="29" t="str">
        <f t="shared" si="5"/>
        <v>Electronics</v>
      </c>
    </row>
    <row r="26" spans="1:13" ht="15.75" thickBot="1" x14ac:dyDescent="0.3">
      <c r="A26" s="20" t="s">
        <v>79</v>
      </c>
      <c r="B26" s="20" t="str">
        <f t="shared" si="0"/>
        <v>03-JUN</v>
      </c>
      <c r="C26" s="20" t="str">
        <f t="shared" si="1"/>
        <v>03-JUN-2024</v>
      </c>
      <c r="D26" s="20" t="str">
        <f t="shared" si="2"/>
        <v>CA</v>
      </c>
      <c r="E26" s="21" t="s">
        <v>62</v>
      </c>
      <c r="F26" s="21" t="str">
        <f t="shared" si="3"/>
        <v>Sunglasses</v>
      </c>
      <c r="G26" s="22" t="s">
        <v>80</v>
      </c>
      <c r="H26" s="34" t="str">
        <f t="shared" si="6"/>
        <v>Sunglasses Ray-Ban</v>
      </c>
      <c r="I26" s="32"/>
      <c r="J26" s="38">
        <f t="shared" si="8"/>
        <v>130</v>
      </c>
      <c r="K26" s="21">
        <v>25</v>
      </c>
      <c r="L26" s="22" t="s">
        <v>13</v>
      </c>
      <c r="M26" s="29" t="str">
        <f t="shared" si="5"/>
        <v>Fashion</v>
      </c>
    </row>
    <row r="27" spans="1:13" ht="15.75" thickBot="1" x14ac:dyDescent="0.3">
      <c r="A27" s="17" t="s">
        <v>81</v>
      </c>
      <c r="B27" s="17" t="str">
        <f t="shared" si="0"/>
        <v>11-JUL</v>
      </c>
      <c r="C27" s="17" t="str">
        <f t="shared" si="1"/>
        <v>11-JUL-2024</v>
      </c>
      <c r="D27" s="17" t="str">
        <f t="shared" si="2"/>
        <v>CA</v>
      </c>
      <c r="E27" s="18" t="s">
        <v>32</v>
      </c>
      <c r="F27" s="18" t="str">
        <f t="shared" si="3"/>
        <v>Blender</v>
      </c>
      <c r="G27" s="19" t="s">
        <v>82</v>
      </c>
      <c r="H27" s="34" t="str">
        <f t="shared" si="6"/>
        <v>Blender Vitamix</v>
      </c>
      <c r="I27" s="32">
        <v>400</v>
      </c>
      <c r="J27" s="36">
        <f t="shared" si="8"/>
        <v>400</v>
      </c>
      <c r="K27" s="18">
        <v>40</v>
      </c>
      <c r="L27" s="19" t="s">
        <v>17</v>
      </c>
      <c r="M27" s="29" t="str">
        <f t="shared" si="5"/>
        <v>Kitchen</v>
      </c>
    </row>
    <row r="28" spans="1:13" ht="15.75" thickBot="1" x14ac:dyDescent="0.3">
      <c r="A28" s="17" t="s">
        <v>83</v>
      </c>
      <c r="B28" s="17" t="str">
        <f t="shared" si="0"/>
        <v>07-MAR</v>
      </c>
      <c r="C28" s="17" t="str">
        <f t="shared" si="1"/>
        <v>07-MAR-2024</v>
      </c>
      <c r="D28" s="17" t="str">
        <f t="shared" si="2"/>
        <v>CA</v>
      </c>
      <c r="E28" s="18" t="s">
        <v>84</v>
      </c>
      <c r="F28" s="18" t="str">
        <f t="shared" si="3"/>
        <v>Dress</v>
      </c>
      <c r="G28" s="19" t="s">
        <v>85</v>
      </c>
      <c r="H28" s="34" t="str">
        <f t="shared" si="6"/>
        <v>Dress Zara</v>
      </c>
      <c r="I28" s="32">
        <v>60</v>
      </c>
      <c r="J28" s="36">
        <f t="shared" si="8"/>
        <v>60</v>
      </c>
      <c r="K28" s="18">
        <v>30</v>
      </c>
      <c r="L28" s="19" t="s">
        <v>13</v>
      </c>
      <c r="M28" s="29" t="str">
        <f t="shared" si="5"/>
        <v>Fashion</v>
      </c>
    </row>
    <row r="29" spans="1:13" ht="15.75" thickBot="1" x14ac:dyDescent="0.3">
      <c r="A29" s="20" t="s">
        <v>86</v>
      </c>
      <c r="B29" s="20" t="str">
        <f t="shared" si="0"/>
        <v>13-APR</v>
      </c>
      <c r="C29" s="20" t="str">
        <f t="shared" si="1"/>
        <v>13-APR-2024</v>
      </c>
      <c r="D29" s="20" t="str">
        <f t="shared" si="2"/>
        <v>CA</v>
      </c>
      <c r="E29" s="21" t="s">
        <v>87</v>
      </c>
      <c r="F29" s="21" t="str">
        <f t="shared" si="3"/>
        <v>Toaster</v>
      </c>
      <c r="G29" s="22" t="s">
        <v>88</v>
      </c>
      <c r="H29" s="34" t="str">
        <f t="shared" si="6"/>
        <v>Toaster Hamilton</v>
      </c>
      <c r="I29" s="32">
        <v>40</v>
      </c>
      <c r="J29" s="37">
        <f t="shared" si="8"/>
        <v>40</v>
      </c>
      <c r="K29" s="21">
        <v>10</v>
      </c>
      <c r="L29" s="22" t="s">
        <v>17</v>
      </c>
      <c r="M29" s="29" t="str">
        <f t="shared" si="5"/>
        <v>Kitchen</v>
      </c>
    </row>
    <row r="30" spans="1:13" ht="21" customHeight="1" thickBot="1" x14ac:dyDescent="0.3">
      <c r="A30" s="17" t="s">
        <v>89</v>
      </c>
      <c r="B30" s="17" t="str">
        <f t="shared" si="0"/>
        <v>24-MAY</v>
      </c>
      <c r="C30" s="17" t="str">
        <f t="shared" si="1"/>
        <v>24-MAY-2024</v>
      </c>
      <c r="D30" s="17" t="str">
        <f t="shared" si="2"/>
        <v>CA</v>
      </c>
      <c r="E30" s="18" t="s">
        <v>74</v>
      </c>
      <c r="F30" s="18" t="str">
        <f t="shared" si="3"/>
        <v>Fitness Tracker</v>
      </c>
      <c r="G30" s="19" t="s">
        <v>90</v>
      </c>
      <c r="H30" s="34" t="str">
        <f t="shared" si="6"/>
        <v>Fitness Tracker Garmin</v>
      </c>
      <c r="I30" s="32">
        <v>130</v>
      </c>
      <c r="J30" s="36">
        <f t="shared" si="8"/>
        <v>130</v>
      </c>
      <c r="K30" s="18">
        <v>5</v>
      </c>
      <c r="L30" s="19" t="s">
        <v>9</v>
      </c>
      <c r="M30" s="29" t="str">
        <f t="shared" si="5"/>
        <v>Electronics</v>
      </c>
    </row>
    <row r="31" spans="1:13" ht="15.75" thickBot="1" x14ac:dyDescent="0.3">
      <c r="A31" s="20" t="s">
        <v>91</v>
      </c>
      <c r="B31" s="20" t="str">
        <f t="shared" si="0"/>
        <v>02-DEC</v>
      </c>
      <c r="C31" s="20" t="str">
        <f t="shared" si="1"/>
        <v>02-DEC-2024</v>
      </c>
      <c r="D31" s="20" t="str">
        <f t="shared" si="2"/>
        <v>CA</v>
      </c>
      <c r="E31" s="21" t="s">
        <v>92</v>
      </c>
      <c r="F31" s="21" t="str">
        <f t="shared" si="3"/>
        <v>Jeans</v>
      </c>
      <c r="G31" s="22" t="s">
        <v>93</v>
      </c>
      <c r="H31" s="34" t="str">
        <f t="shared" si="6"/>
        <v>Jeans Levi's</v>
      </c>
      <c r="I31" s="32">
        <v>50</v>
      </c>
      <c r="J31" s="37">
        <f t="shared" si="8"/>
        <v>50</v>
      </c>
      <c r="K31" s="21">
        <v>50</v>
      </c>
      <c r="L31" s="22" t="s">
        <v>13</v>
      </c>
      <c r="M31" s="29" t="str">
        <f t="shared" si="5"/>
        <v>Fashion</v>
      </c>
    </row>
    <row r="32" spans="1:13" ht="15.75" thickBot="1" x14ac:dyDescent="0.3">
      <c r="A32" s="20" t="s">
        <v>94</v>
      </c>
      <c r="B32" s="20" t="str">
        <f t="shared" si="0"/>
        <v>09-JUL</v>
      </c>
      <c r="C32" s="20" t="str">
        <f t="shared" si="1"/>
        <v>09-JUL-2024</v>
      </c>
      <c r="D32" s="20" t="str">
        <f t="shared" si="2"/>
        <v>FR</v>
      </c>
      <c r="E32" s="21" t="s">
        <v>95</v>
      </c>
      <c r="F32" s="21" t="str">
        <f t="shared" si="3"/>
        <v>Watch</v>
      </c>
      <c r="G32" s="22" t="s">
        <v>96</v>
      </c>
      <c r="H32" s="34" t="str">
        <f t="shared" si="6"/>
        <v>Watch Casio</v>
      </c>
      <c r="I32" s="32">
        <v>100</v>
      </c>
      <c r="J32" s="37">
        <f t="shared" si="8"/>
        <v>100</v>
      </c>
      <c r="K32" s="21">
        <v>20</v>
      </c>
      <c r="L32" s="22" t="s">
        <v>56</v>
      </c>
      <c r="M32" s="29" t="str">
        <f t="shared" si="5"/>
        <v>Accessories</v>
      </c>
    </row>
    <row r="35" spans="4:11" x14ac:dyDescent="0.25">
      <c r="D35" s="27" t="s">
        <v>97</v>
      </c>
    </row>
    <row r="36" spans="4:11" x14ac:dyDescent="0.25">
      <c r="D36" s="26"/>
    </row>
    <row r="37" spans="4:11" x14ac:dyDescent="0.25">
      <c r="D37" s="44" t="s">
        <v>108</v>
      </c>
    </row>
    <row r="38" spans="4:11" x14ac:dyDescent="0.25">
      <c r="D38" s="43"/>
      <c r="E38" s="44"/>
      <c r="F38" s="44"/>
      <c r="G38" s="44"/>
      <c r="H38" s="44"/>
      <c r="I38" s="44"/>
      <c r="J38" s="44"/>
      <c r="K38" s="44"/>
    </row>
    <row r="39" spans="4:11" x14ac:dyDescent="0.25">
      <c r="D39" s="44" t="s">
        <v>111</v>
      </c>
    </row>
    <row r="40" spans="4:11" x14ac:dyDescent="0.25">
      <c r="D40" s="46" t="s">
        <v>112</v>
      </c>
      <c r="E40" s="46"/>
      <c r="F40" s="44"/>
      <c r="G40" s="44"/>
      <c r="H40" s="44"/>
      <c r="I40" s="44"/>
      <c r="J40" s="44"/>
    </row>
    <row r="41" spans="4:11" x14ac:dyDescent="0.25">
      <c r="E41" s="41"/>
      <c r="F41" s="41"/>
      <c r="G41" s="41"/>
      <c r="H41" s="41"/>
    </row>
    <row r="42" spans="4:11" x14ac:dyDescent="0.25">
      <c r="D42" s="42" t="s">
        <v>117</v>
      </c>
    </row>
    <row r="43" spans="4:11" x14ac:dyDescent="0.25">
      <c r="E43" s="42"/>
      <c r="F43" s="42"/>
      <c r="G43" s="42"/>
      <c r="H43" s="42"/>
      <c r="I43" s="42"/>
      <c r="J43" s="42"/>
      <c r="K43" s="42"/>
    </row>
    <row r="44" spans="4:11" x14ac:dyDescent="0.25">
      <c r="D44" s="44" t="s">
        <v>116</v>
      </c>
    </row>
    <row r="45" spans="4:11" x14ac:dyDescent="0.25">
      <c r="E45" s="44"/>
      <c r="F45" s="44"/>
      <c r="G45" s="44"/>
    </row>
    <row r="46" spans="4:11" x14ac:dyDescent="0.25">
      <c r="D46" s="44" t="s">
        <v>115</v>
      </c>
    </row>
    <row r="47" spans="4:11" x14ac:dyDescent="0.25">
      <c r="E47" s="44"/>
      <c r="F47" s="44"/>
      <c r="G47" s="44"/>
    </row>
    <row r="48" spans="4:11" x14ac:dyDescent="0.25">
      <c r="D48" s="44" t="s">
        <v>118</v>
      </c>
      <c r="G48" s="40"/>
    </row>
    <row r="49" spans="3:9" x14ac:dyDescent="0.25">
      <c r="C49" s="45"/>
      <c r="E49" s="44"/>
      <c r="F49" s="44"/>
      <c r="G49" s="44"/>
      <c r="H49" s="44"/>
      <c r="I49" s="44"/>
    </row>
  </sheetData>
  <mergeCells count="1">
    <mergeCell ref="D40:E40"/>
  </mergeCells>
  <conditionalFormatting sqref="J1">
    <cfRule type="colorScale" priority="8">
      <colorScale>
        <cfvo type="min"/>
        <cfvo type="max"/>
        <color rgb="FFFFEF9C"/>
        <color rgb="FF63BE7B"/>
      </colorScale>
    </cfRule>
  </conditionalFormatting>
  <conditionalFormatting sqref="J1:J33 J36:J37 I34:I35 J44:J1048576 J41:J42 J39">
    <cfRule type="colorScale" priority="3">
      <colorScale>
        <cfvo type="min"/>
        <cfvo type="max"/>
        <color rgb="FFFCFCFF"/>
        <color rgb="FFF8696B"/>
      </colorScale>
    </cfRule>
  </conditionalFormatting>
  <conditionalFormatting sqref="M1:M33 M36:M1048576 L34:L35">
    <cfRule type="cellIs" dxfId="18" priority="4" operator="equal">
      <formula>"Electronics"</formula>
    </cfRule>
    <cfRule type="cellIs" priority="5" operator="equal">
      <formula>"Electronics"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{B1A55BEB-5768-48EF-B7F5-2397C85F64A2}</x14:id>
        </ext>
      </extLs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{C3D1CE47-700D-4552-9D06-D26770DE7601}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A55BEB-5768-48EF-B7F5-2397C85F6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3D1CE47-700D-4552-9D06-D26770DE7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remove duplicate</vt:lpstr>
      <vt:lpstr>Handle missing</vt:lpstr>
      <vt:lpstr>Cleaned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2026-04-11T12:13:59Z</dcterms:modified>
</cp:coreProperties>
</file>